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OTA RAM" sheetId="1" state="visible" r:id="rId1"/>
  </sheets>
  <definedNames>
    <definedName name="_xlnm.Print_Area" localSheetId="0">'MOTA RAM'!$A$1:$K$328</definedName>
  </definedNames>
  <calcPr calcId="191029" fullCalcOnLoad="1"/>
</workbook>
</file>

<file path=xl/styles.xml><?xml version="1.0" encoding="utf-8"?>
<styleSheet xmlns="http://schemas.openxmlformats.org/spreadsheetml/2006/main">
  <numFmts count="0"/>
  <fonts count="21">
    <font>
      <name val="Calibri"/>
      <family val="2"/>
      <color theme="1"/>
      <sz val="11"/>
      <scheme val="minor"/>
    </font>
    <font>
      <name val="Arial"/>
      <family val="2"/>
      <b val="1"/>
      <color theme="1"/>
      <sz val="14"/>
    </font>
    <font>
      <name val="Arial"/>
      <family val="2"/>
      <b val="1"/>
      <color theme="1"/>
      <sz val="22"/>
    </font>
    <font>
      <name val="Arial"/>
      <family val="2"/>
      <b val="1"/>
      <color theme="1"/>
      <sz val="20"/>
    </font>
    <font>
      <name val="Arial"/>
      <family val="2"/>
      <color theme="1"/>
      <sz val="12"/>
    </font>
    <font>
      <name val="Arial"/>
      <family val="2"/>
      <b val="1"/>
      <color theme="1"/>
      <sz val="18"/>
    </font>
    <font>
      <name val="Arial"/>
      <family val="2"/>
      <color theme="1"/>
      <sz val="18"/>
    </font>
    <font>
      <name val="Arial"/>
      <family val="2"/>
      <color theme="1"/>
      <sz val="16"/>
    </font>
    <font>
      <name val="Arial"/>
      <family val="2"/>
      <sz val="18"/>
    </font>
    <font>
      <name val="Arial"/>
      <family val="2"/>
      <b val="1"/>
      <sz val="18"/>
    </font>
    <font>
      <name val="Arial"/>
      <family val="2"/>
      <sz val="16"/>
    </font>
    <font>
      <name val="Arial"/>
      <family val="2"/>
      <b val="1"/>
      <sz val="16"/>
    </font>
    <font>
      <name val="Calibri"/>
      <family val="2"/>
      <color theme="1"/>
      <sz val="18"/>
      <scheme val="minor"/>
    </font>
    <font>
      <name val="Calibri"/>
      <family val="2"/>
      <color theme="1"/>
      <sz val="10"/>
      <scheme val="minor"/>
    </font>
    <font>
      <name val="Arial"/>
      <family val="2"/>
      <b val="1"/>
      <color theme="1"/>
      <sz val="12"/>
    </font>
    <font>
      <name val="Arial"/>
      <family val="2"/>
      <b val="1"/>
      <color theme="1"/>
      <sz val="16"/>
    </font>
    <font>
      <name val="Arial"/>
      <family val="2"/>
      <color theme="1"/>
      <sz val="14"/>
    </font>
    <font>
      <name val="Arial"/>
      <family val="2"/>
      <color theme="1"/>
      <sz val="20"/>
    </font>
    <font>
      <name val="Arial"/>
      <family val="2"/>
      <b val="1"/>
      <color theme="1"/>
      <sz val="20"/>
      <u val="single"/>
    </font>
    <font>
      <name val="Algerian"/>
      <family val="5"/>
      <b val="1"/>
      <color theme="1"/>
      <sz val="48"/>
      <u val="single"/>
    </font>
    <font>
      <name val="Algerian"/>
      <family val="5"/>
      <b val="1"/>
      <color theme="1"/>
      <sz val="28"/>
      <u val="single"/>
    </font>
  </fonts>
  <fills count="7">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FFFF00"/>
        <bgColor indexed="64"/>
      </patternFill>
    </fill>
  </fills>
  <borders count="5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1">
    <xf numFmtId="0" fontId="0" fillId="0" borderId="0"/>
  </cellStyleXfs>
  <cellXfs count="438">
    <xf numFmtId="0" fontId="0" fillId="0" borderId="0" pivotButton="0" quotePrefix="0" xfId="0"/>
    <xf numFmtId="0" fontId="4" fillId="2" borderId="0" applyAlignment="1" pivotButton="0" quotePrefix="0" xfId="0">
      <alignment horizontal="left"/>
    </xf>
    <xf numFmtId="0" fontId="4" fillId="3" borderId="0" applyAlignment="1" pivotButton="0" quotePrefix="0" xfId="0">
      <alignment horizontal="left"/>
    </xf>
    <xf numFmtId="2" fontId="8" fillId="2" borderId="8" applyAlignment="1" pivotButton="0" quotePrefix="0" xfId="0">
      <alignment horizontal="center" vertical="center"/>
    </xf>
    <xf numFmtId="0" fontId="10" fillId="2" borderId="7" applyAlignment="1" pivotButton="0" quotePrefix="0" xfId="0">
      <alignment horizontal="center" vertical="center"/>
    </xf>
    <xf numFmtId="0" fontId="8" fillId="2" borderId="7" applyAlignment="1" pivotButton="0" quotePrefix="0" xfId="0">
      <alignment horizontal="center" vertical="center"/>
    </xf>
    <xf numFmtId="0" fontId="8" fillId="2" borderId="25" applyAlignment="1" pivotButton="0" quotePrefix="0" xfId="0">
      <alignment horizontal="center" vertical="center"/>
    </xf>
    <xf numFmtId="0" fontId="8" fillId="2" borderId="8" applyAlignment="1" pivotButton="0" quotePrefix="0" xfId="0">
      <alignment horizontal="center" vertical="center"/>
    </xf>
    <xf numFmtId="2" fontId="9" fillId="2" borderId="25" applyAlignment="1" pivotButton="0" quotePrefix="0" xfId="0">
      <alignment horizontal="center" vertical="center"/>
    </xf>
    <xf numFmtId="0" fontId="5" fillId="2" borderId="25" applyAlignment="1" pivotButton="0" quotePrefix="0" xfId="0">
      <alignment horizontal="center" vertical="center"/>
    </xf>
    <xf numFmtId="0" fontId="5" fillId="2" borderId="26" applyAlignment="1" pivotButton="0" quotePrefix="0" xfId="0">
      <alignment horizontal="center" vertical="center"/>
    </xf>
    <xf numFmtId="2" fontId="6" fillId="2" borderId="7" applyAlignment="1" pivotButton="0" quotePrefix="0" xfId="0">
      <alignment horizontal="left" vertical="center"/>
    </xf>
    <xf numFmtId="1" fontId="6" fillId="2" borderId="7" applyAlignment="1" pivotButton="0" quotePrefix="0" xfId="0">
      <alignment horizontal="left" vertical="center"/>
    </xf>
    <xf numFmtId="0" fontId="12" fillId="2" borderId="10" applyAlignment="1" pivotButton="0" quotePrefix="0" xfId="0">
      <alignment vertical="center"/>
    </xf>
    <xf numFmtId="2" fontId="12" fillId="2" borderId="10" applyAlignment="1" pivotButton="0" quotePrefix="0" xfId="0">
      <alignment vertical="center"/>
    </xf>
    <xf numFmtId="0" fontId="13" fillId="2" borderId="0" applyAlignment="1" pivotButton="0" quotePrefix="0" xfId="0">
      <alignment horizontal="left"/>
    </xf>
    <xf numFmtId="0" fontId="4" fillId="2" borderId="0" applyAlignment="1" pivotButton="0" quotePrefix="0" xfId="0">
      <alignment horizontal="left" vertical="center"/>
    </xf>
    <xf numFmtId="0" fontId="5" fillId="2" borderId="6" applyAlignment="1" pivotButton="0" quotePrefix="0" xfId="0">
      <alignment vertical="center" wrapText="1"/>
    </xf>
    <xf numFmtId="0" fontId="5" fillId="2" borderId="7" applyAlignment="1" pivotButton="0" quotePrefix="0" xfId="0">
      <alignment horizontal="left" vertical="center"/>
    </xf>
    <xf numFmtId="0" fontId="5" fillId="2" borderId="7" applyAlignment="1" pivotButton="0" quotePrefix="0" xfId="0">
      <alignment horizontal="center" vertical="center"/>
    </xf>
    <xf numFmtId="2" fontId="6" fillId="2" borderId="10" applyAlignment="1" pivotButton="0" quotePrefix="0" xfId="0">
      <alignment vertical="center"/>
    </xf>
    <xf numFmtId="2" fontId="6" fillId="2" borderId="12" applyAlignment="1" pivotButton="0" quotePrefix="0" xfId="0">
      <alignment vertical="center"/>
    </xf>
    <xf numFmtId="0" fontId="6" fillId="2" borderId="7" applyAlignment="1" pivotButton="0" quotePrefix="0" xfId="0">
      <alignment horizontal="center" vertical="center"/>
    </xf>
    <xf numFmtId="0" fontId="6" fillId="2" borderId="8" applyAlignment="1" pivotButton="0" quotePrefix="0" xfId="0">
      <alignment horizontal="center" vertical="center"/>
    </xf>
    <xf numFmtId="0" fontId="6" fillId="2" borderId="13" applyAlignment="1" pivotButton="0" quotePrefix="0" xfId="0">
      <alignment vertical="center"/>
    </xf>
    <xf numFmtId="0" fontId="6" fillId="2" borderId="10" applyAlignment="1" pivotButton="0" quotePrefix="0" xfId="0">
      <alignment vertical="center"/>
    </xf>
    <xf numFmtId="0" fontId="6" fillId="2" borderId="7" applyAlignment="1" pivotButton="0" quotePrefix="0" xfId="0">
      <alignment horizontal="left" vertical="center"/>
    </xf>
    <xf numFmtId="0" fontId="8" fillId="2" borderId="7" applyAlignment="1" pivotButton="0" quotePrefix="0" xfId="0">
      <alignment horizontal="left" vertical="center"/>
    </xf>
    <xf numFmtId="2" fontId="9" fillId="2" borderId="13" applyAlignment="1" pivotButton="0" quotePrefix="0" xfId="0">
      <alignment horizontal="center" vertical="center"/>
    </xf>
    <xf numFmtId="0" fontId="8" fillId="2" borderId="13" applyAlignment="1" pivotButton="0" quotePrefix="0" xfId="0">
      <alignment horizontal="center" vertical="center"/>
    </xf>
    <xf numFmtId="0" fontId="8" fillId="2" borderId="14" applyAlignment="1" pivotButton="0" quotePrefix="0" xfId="0">
      <alignment horizontal="center" vertical="center"/>
    </xf>
    <xf numFmtId="0" fontId="5" fillId="2" borderId="7" applyAlignment="1" pivotButton="0" quotePrefix="0" xfId="0">
      <alignment vertical="center"/>
    </xf>
    <xf numFmtId="0" fontId="5" fillId="5" borderId="12" applyAlignment="1" pivotButton="0" quotePrefix="0" xfId="0">
      <alignment horizontal="left" vertical="center"/>
    </xf>
    <xf numFmtId="0" fontId="14" fillId="2" borderId="7" applyAlignment="1" pivotButton="0" quotePrefix="0" xfId="0">
      <alignment vertical="center" wrapText="1"/>
    </xf>
    <xf numFmtId="0" fontId="14" fillId="2" borderId="39" applyAlignment="1" pivotButton="0" quotePrefix="0" xfId="0">
      <alignment vertical="center" wrapText="1"/>
    </xf>
    <xf numFmtId="0" fontId="5" fillId="4" borderId="30" applyAlignment="1" pivotButton="0" quotePrefix="0" xfId="0">
      <alignment vertical="center"/>
    </xf>
    <xf numFmtId="0" fontId="8" fillId="2" borderId="26" applyAlignment="1" pivotButton="0" quotePrefix="0" xfId="0">
      <alignment horizontal="center" vertical="center" wrapText="1"/>
    </xf>
    <xf numFmtId="14" fontId="6" fillId="2" borderId="19" applyAlignment="1" pivotButton="0" quotePrefix="0" xfId="0">
      <alignment horizontal="center" vertical="center"/>
    </xf>
    <xf numFmtId="0" fontId="5" fillId="4" borderId="30" applyAlignment="1" pivotButton="0" quotePrefix="0" xfId="0">
      <alignment horizontal="left" vertical="center"/>
    </xf>
    <xf numFmtId="9" fontId="6" fillId="2" borderId="14" applyAlignment="1" pivotButton="0" quotePrefix="0" xfId="0">
      <alignment horizontal="center" vertical="center" wrapText="1"/>
    </xf>
    <xf numFmtId="0" fontId="5" fillId="4" borderId="1" applyAlignment="1" pivotButton="0" quotePrefix="0" xfId="0">
      <alignment vertical="center"/>
    </xf>
    <xf numFmtId="2" fontId="5" fillId="2" borderId="10" applyAlignment="1" pivotButton="0" quotePrefix="0" xfId="0">
      <alignment horizontal="left" vertical="center" wrapText="1"/>
    </xf>
    <xf numFmtId="0" fontId="6" fillId="2" borderId="13" applyAlignment="1" pivotButton="0" quotePrefix="0" xfId="0">
      <alignment horizontal="left" vertical="center" wrapText="1"/>
    </xf>
    <xf numFmtId="0" fontId="6" fillId="2" borderId="10" applyAlignment="1" pivotButton="0" quotePrefix="0" xfId="0">
      <alignment horizontal="left" vertical="center" wrapText="1"/>
    </xf>
    <xf numFmtId="0" fontId="6" fillId="2" borderId="12" applyAlignment="1" pivotButton="0" quotePrefix="0" xfId="0">
      <alignment horizontal="left" vertical="center" wrapText="1"/>
    </xf>
    <xf numFmtId="0" fontId="15" fillId="2" borderId="18" applyAlignment="1" pivotButton="0" quotePrefix="0" xfId="0">
      <alignment horizontal="center" vertical="center" wrapText="1"/>
    </xf>
    <xf numFmtId="0" fontId="15" fillId="2" borderId="4" applyAlignment="1" pivotButton="0" quotePrefix="0" xfId="0">
      <alignment horizontal="center" vertical="center" wrapText="1"/>
    </xf>
    <xf numFmtId="0" fontId="6" fillId="2" borderId="7" applyAlignment="1" pivotButton="0" quotePrefix="0" xfId="0">
      <alignment horizontal="left" vertical="center" wrapText="1"/>
    </xf>
    <xf numFmtId="0" fontId="5" fillId="2" borderId="6" applyAlignment="1" pivotButton="0" quotePrefix="0" xfId="0">
      <alignment horizontal="left" vertical="center"/>
    </xf>
    <xf numFmtId="0" fontId="5" fillId="2" borderId="7" applyAlignment="1" pivotButton="0" quotePrefix="0" xfId="0">
      <alignment horizontal="left" vertical="center"/>
    </xf>
    <xf numFmtId="0" fontId="6" fillId="2" borderId="13" applyAlignment="1" pivotButton="0" quotePrefix="0" xfId="0">
      <alignment horizontal="left" vertical="center"/>
    </xf>
    <xf numFmtId="0" fontId="6" fillId="2" borderId="10" applyAlignment="1" pivotButton="0" quotePrefix="0" xfId="0">
      <alignment horizontal="left" vertical="center"/>
    </xf>
    <xf numFmtId="0" fontId="6" fillId="2" borderId="12" applyAlignment="1" pivotButton="0" quotePrefix="0" xfId="0">
      <alignment horizontal="left" vertical="center"/>
    </xf>
    <xf numFmtId="0" fontId="5" fillId="2" borderId="18" applyAlignment="1" pivotButton="0" quotePrefix="0" xfId="0">
      <alignment horizontal="left" vertical="center" wrapText="1"/>
    </xf>
    <xf numFmtId="0" fontId="5" fillId="2" borderId="11" applyAlignment="1" pivotButton="0" quotePrefix="0" xfId="0">
      <alignment horizontal="left" vertical="center" wrapText="1"/>
    </xf>
    <xf numFmtId="0" fontId="5" fillId="2" borderId="19" applyAlignment="1" pivotButton="0" quotePrefix="0" xfId="0">
      <alignment horizontal="left" vertical="center" wrapText="1"/>
    </xf>
    <xf numFmtId="0" fontId="5" fillId="2" borderId="4" applyAlignment="1" pivotButton="0" quotePrefix="0" xfId="0">
      <alignment horizontal="left" vertical="center" wrapText="1"/>
    </xf>
    <xf numFmtId="0" fontId="5" fillId="2" borderId="0" applyAlignment="1" pivotButton="0" quotePrefix="0" xfId="0">
      <alignment horizontal="left" vertical="center" wrapText="1"/>
    </xf>
    <xf numFmtId="0" fontId="5" fillId="2" borderId="41" applyAlignment="1" pivotButton="0" quotePrefix="0" xfId="0">
      <alignment horizontal="left" vertical="center" wrapText="1"/>
    </xf>
    <xf numFmtId="0" fontId="6" fillId="2" borderId="20" applyAlignment="1" pivotButton="0" quotePrefix="0" xfId="0">
      <alignment horizontal="left" vertical="center" wrapText="1"/>
    </xf>
    <xf numFmtId="0" fontId="6" fillId="2" borderId="11" applyAlignment="1" pivotButton="0" quotePrefix="0" xfId="0">
      <alignment horizontal="left" vertical="center" wrapText="1"/>
    </xf>
    <xf numFmtId="0" fontId="6" fillId="2" borderId="21" applyAlignment="1" pivotButton="0" quotePrefix="0" xfId="0">
      <alignment horizontal="left" vertical="center" wrapText="1"/>
    </xf>
    <xf numFmtId="0" fontId="6" fillId="2" borderId="24" applyAlignment="1" pivotButton="0" quotePrefix="0" xfId="0">
      <alignment horizontal="left" vertical="center" wrapText="1"/>
    </xf>
    <xf numFmtId="0" fontId="6" fillId="2" borderId="0" applyAlignment="1" pivotButton="0" quotePrefix="0" xfId="0">
      <alignment horizontal="left" vertical="center" wrapText="1"/>
    </xf>
    <xf numFmtId="0" fontId="6" fillId="2" borderId="5" applyAlignment="1" pivotButton="0" quotePrefix="0" xfId="0">
      <alignment horizontal="left" vertical="center" wrapText="1"/>
    </xf>
    <xf numFmtId="0" fontId="6" fillId="2" borderId="11" applyAlignment="1" pivotButton="0" quotePrefix="0" xfId="0">
      <alignment horizontal="left" vertical="center"/>
    </xf>
    <xf numFmtId="0" fontId="6" fillId="2" borderId="21" applyAlignment="1" pivotButton="0" quotePrefix="0" xfId="0">
      <alignment horizontal="left" vertical="center"/>
    </xf>
    <xf numFmtId="0" fontId="5" fillId="2" borderId="9" applyAlignment="1" pivotButton="0" quotePrefix="0" xfId="0">
      <alignment horizontal="center" vertical="center" wrapText="1"/>
    </xf>
    <xf numFmtId="0" fontId="5" fillId="2" borderId="14" applyAlignment="1" pivotButton="0" quotePrefix="0" xfId="0">
      <alignment horizontal="center" vertical="center" wrapText="1"/>
    </xf>
    <xf numFmtId="0" fontId="5" fillId="2" borderId="13" applyAlignment="1" pivotButton="0" quotePrefix="0" xfId="0">
      <alignment horizontal="center" vertical="center"/>
    </xf>
    <xf numFmtId="0" fontId="5" fillId="2" borderId="10" applyAlignment="1" pivotButton="0" quotePrefix="0" xfId="0">
      <alignment horizontal="center" vertical="center"/>
    </xf>
    <xf numFmtId="0" fontId="5" fillId="2" borderId="14" applyAlignment="1" pivotButton="0" quotePrefix="0" xfId="0">
      <alignment horizontal="center" vertical="center"/>
    </xf>
    <xf numFmtId="0" fontId="5" fillId="4" borderId="31" applyAlignment="1" pivotButton="0" quotePrefix="0" xfId="0">
      <alignment horizontal="center" vertical="center"/>
    </xf>
    <xf numFmtId="0" fontId="5" fillId="4" borderId="32" applyAlignment="1" pivotButton="0" quotePrefix="0" xfId="0">
      <alignment horizontal="center" vertical="center"/>
    </xf>
    <xf numFmtId="0" fontId="8" fillId="2" borderId="1" applyAlignment="1" pivotButton="0" quotePrefix="0" xfId="0">
      <alignment horizontal="center" vertical="center"/>
    </xf>
    <xf numFmtId="0" fontId="8" fillId="2" borderId="44" applyAlignment="1" pivotButton="0" quotePrefix="0" xfId="0">
      <alignment horizontal="center" vertical="center"/>
    </xf>
    <xf numFmtId="0" fontId="8" fillId="2" borderId="22" applyAlignment="1" pivotButton="0" quotePrefix="0" xfId="0">
      <alignment horizontal="center" vertical="center"/>
    </xf>
    <xf numFmtId="0" fontId="8" fillId="2" borderId="17" applyAlignment="1" pivotButton="0" quotePrefix="0" xfId="0">
      <alignment horizontal="center" vertical="center"/>
    </xf>
    <xf numFmtId="0" fontId="8" fillId="2" borderId="25" applyAlignment="1" pivotButton="0" quotePrefix="0" xfId="0">
      <alignment horizontal="center" vertical="center" wrapText="1"/>
    </xf>
    <xf numFmtId="0" fontId="8" fillId="2" borderId="15" applyAlignment="1" pivotButton="0" quotePrefix="0" xfId="0">
      <alignment horizontal="center" vertical="center" wrapText="1"/>
    </xf>
    <xf numFmtId="0" fontId="8" fillId="2" borderId="17" applyAlignment="1" pivotButton="0" quotePrefix="0" xfId="0">
      <alignment horizontal="center" vertical="center" wrapText="1"/>
    </xf>
    <xf numFmtId="2" fontId="8" fillId="2" borderId="13" applyAlignment="1" pivotButton="0" quotePrefix="0" xfId="0">
      <alignment horizontal="center" vertical="center"/>
    </xf>
    <xf numFmtId="2" fontId="8" fillId="2" borderId="14" applyAlignment="1" pivotButton="0" quotePrefix="0" xfId="0">
      <alignment horizontal="center" vertical="center"/>
    </xf>
    <xf numFmtId="0" fontId="9" fillId="2" borderId="6" applyAlignment="1" pivotButton="0" quotePrefix="0" xfId="0">
      <alignment vertical="center"/>
    </xf>
    <xf numFmtId="0" fontId="9" fillId="2" borderId="7" applyAlignment="1" pivotButton="0" quotePrefix="0" xfId="0">
      <alignment vertical="center"/>
    </xf>
    <xf numFmtId="0" fontId="11" fillId="2" borderId="6" applyAlignment="1" pivotButton="0" quotePrefix="0" xfId="0">
      <alignment vertical="center"/>
    </xf>
    <xf numFmtId="0" fontId="11" fillId="2" borderId="7" applyAlignment="1" pivotButton="0" quotePrefix="0" xfId="0">
      <alignment vertical="center"/>
    </xf>
    <xf numFmtId="0" fontId="11" fillId="2" borderId="25" applyAlignment="1" pivotButton="0" quotePrefix="0" xfId="0">
      <alignment vertical="center"/>
    </xf>
    <xf numFmtId="0" fontId="15" fillId="2" borderId="4" applyAlignment="1" pivotButton="0" quotePrefix="0" xfId="0">
      <alignment horizontal="left" vertical="center"/>
    </xf>
    <xf numFmtId="0" fontId="15" fillId="2" borderId="0" applyAlignment="1" pivotButton="0" quotePrefix="0" xfId="0">
      <alignment horizontal="left" vertical="center"/>
    </xf>
    <xf numFmtId="0" fontId="6" fillId="2" borderId="6" applyAlignment="1" pivotButton="0" quotePrefix="0" xfId="0">
      <alignment horizontal="center" vertical="center" wrapText="1"/>
    </xf>
    <xf numFmtId="0" fontId="6" fillId="2" borderId="7" applyAlignment="1" pivotButton="0" quotePrefix="0" xfId="0">
      <alignment horizontal="center" vertical="center" wrapText="1"/>
    </xf>
    <xf numFmtId="0" fontId="6" fillId="2" borderId="13" applyAlignment="1" pivotButton="0" quotePrefix="0" xfId="0">
      <alignment horizontal="center" vertical="center" wrapText="1"/>
    </xf>
    <xf numFmtId="0" fontId="6" fillId="2" borderId="10" applyAlignment="1" pivotButton="0" quotePrefix="0" xfId="0">
      <alignment horizontal="center" vertical="center" wrapText="1"/>
    </xf>
    <xf numFmtId="0" fontId="6" fillId="2" borderId="14" applyAlignment="1" pivotButton="0" quotePrefix="0" xfId="0">
      <alignment horizontal="center" vertical="center" wrapText="1"/>
    </xf>
    <xf numFmtId="0" fontId="6" fillId="2" borderId="7" applyAlignment="1" pivotButton="0" quotePrefix="0" xfId="0">
      <alignment horizontal="center" vertical="center"/>
    </xf>
    <xf numFmtId="0" fontId="6" fillId="2" borderId="8" applyAlignment="1" pivotButton="0" quotePrefix="0" xfId="0">
      <alignment horizontal="center" vertical="center"/>
    </xf>
    <xf numFmtId="0" fontId="6" fillId="2" borderId="9" applyAlignment="1" pivotButton="0" quotePrefix="0" xfId="0">
      <alignment horizontal="center" vertical="center" wrapText="1"/>
    </xf>
    <xf numFmtId="0" fontId="6" fillId="2" borderId="12" applyAlignment="1" pivotButton="0" quotePrefix="0" xfId="0">
      <alignment horizontal="center" vertical="center" wrapText="1"/>
    </xf>
    <xf numFmtId="0" fontId="7" fillId="2" borderId="13" applyAlignment="1" pivotButton="0" quotePrefix="0" xfId="0">
      <alignment horizontal="center" vertical="center" wrapText="1"/>
    </xf>
    <xf numFmtId="0" fontId="7" fillId="2" borderId="10" applyAlignment="1" pivotButton="0" quotePrefix="0" xfId="0">
      <alignment horizontal="center" vertical="center" wrapText="1"/>
    </xf>
    <xf numFmtId="0" fontId="7" fillId="2" borderId="12" applyAlignment="1" pivotButton="0" quotePrefix="0" xfId="0">
      <alignment horizontal="center" vertical="center" wrapText="1"/>
    </xf>
    <xf numFmtId="0" fontId="5" fillId="2" borderId="6" applyAlignment="1" pivotButton="0" quotePrefix="0" xfId="0">
      <alignment horizontal="center" vertical="center" wrapText="1"/>
    </xf>
    <xf numFmtId="0" fontId="5" fillId="2" borderId="7" applyAlignment="1" pivotButton="0" quotePrefix="0" xfId="0">
      <alignment horizontal="center" vertical="center" wrapText="1"/>
    </xf>
    <xf numFmtId="0" fontId="5" fillId="2" borderId="13" applyAlignment="1" pivotButton="0" quotePrefix="0" xfId="0">
      <alignment horizontal="center" vertical="center" wrapText="1"/>
    </xf>
    <xf numFmtId="0" fontId="5" fillId="2" borderId="10" applyAlignment="1" pivotButton="0" quotePrefix="0" xfId="0">
      <alignment horizontal="center" vertical="center" wrapText="1"/>
    </xf>
    <xf numFmtId="0" fontId="5" fillId="2" borderId="7" applyAlignment="1" pivotButton="0" quotePrefix="0" xfId="0">
      <alignment horizontal="center" vertical="center"/>
    </xf>
    <xf numFmtId="0" fontId="5" fillId="2" borderId="8" applyAlignment="1" pivotButton="0" quotePrefix="0" xfId="0">
      <alignment horizontal="center" vertical="center"/>
    </xf>
    <xf numFmtId="1" fontId="6" fillId="2" borderId="13" applyAlignment="1" pivotButton="0" quotePrefix="0" xfId="0">
      <alignment horizontal="center" vertical="center"/>
    </xf>
    <xf numFmtId="1" fontId="6" fillId="2" borderId="14" applyAlignment="1" pivotButton="0" quotePrefix="0" xfId="0">
      <alignment horizontal="center" vertical="center"/>
    </xf>
    <xf numFmtId="0" fontId="5" fillId="2" borderId="22" applyAlignment="1" pivotButton="0" quotePrefix="0" xfId="0">
      <alignment horizontal="left" vertical="center" wrapText="1"/>
    </xf>
    <xf numFmtId="0" fontId="5" fillId="2" borderId="16" applyAlignment="1" pivotButton="0" quotePrefix="0" xfId="0">
      <alignment horizontal="left" vertical="center" wrapText="1"/>
    </xf>
    <xf numFmtId="0" fontId="5" fillId="2" borderId="17" applyAlignment="1" pivotButton="0" quotePrefix="0" xfId="0">
      <alignment horizontal="left" vertical="center" wrapText="1"/>
    </xf>
    <xf numFmtId="0" fontId="6" fillId="2" borderId="20" applyAlignment="1" pivotButton="0" quotePrefix="0" xfId="0">
      <alignment horizontal="left" vertical="center"/>
    </xf>
    <xf numFmtId="0" fontId="6" fillId="2" borderId="24" applyAlignment="1" pivotButton="0" quotePrefix="0" xfId="0">
      <alignment horizontal="left" vertical="center"/>
    </xf>
    <xf numFmtId="0" fontId="6" fillId="2" borderId="0" applyAlignment="1" pivotButton="0" quotePrefix="0" xfId="0">
      <alignment horizontal="left" vertical="center"/>
    </xf>
    <xf numFmtId="0" fontId="6" fillId="2" borderId="5" applyAlignment="1" pivotButton="0" quotePrefix="0" xfId="0">
      <alignment horizontal="left" vertical="center"/>
    </xf>
    <xf numFmtId="0" fontId="5" fillId="2" borderId="12" applyAlignment="1" pivotButton="0" quotePrefix="0" xfId="0">
      <alignment horizontal="center" vertical="center"/>
    </xf>
    <xf numFmtId="0" fontId="5" fillId="6" borderId="9" applyAlignment="1" pivotButton="0" quotePrefix="0" xfId="0">
      <alignment horizontal="left" vertical="center"/>
    </xf>
    <xf numFmtId="0" fontId="5" fillId="6" borderId="10" applyAlignment="1" pivotButton="0" quotePrefix="0" xfId="0">
      <alignment horizontal="left" vertical="center"/>
    </xf>
    <xf numFmtId="0" fontId="5" fillId="6" borderId="14" applyAlignment="1" pivotButton="0" quotePrefix="0" xfId="0">
      <alignment horizontal="left" vertical="center"/>
    </xf>
    <xf numFmtId="0" fontId="5" fillId="2" borderId="9" applyAlignment="1" pivotButton="0" quotePrefix="0" xfId="0">
      <alignment vertical="center" wrapText="1"/>
    </xf>
    <xf numFmtId="0" fontId="5" fillId="2" borderId="10" applyAlignment="1" pivotButton="0" quotePrefix="0" xfId="0">
      <alignment vertical="center"/>
    </xf>
    <xf numFmtId="0" fontId="5" fillId="2" borderId="14" applyAlignment="1" pivotButton="0" quotePrefix="0" xfId="0">
      <alignment vertical="center"/>
    </xf>
    <xf numFmtId="0" fontId="4" fillId="2" borderId="18" pivotButton="0" quotePrefix="0" xfId="0"/>
    <xf numFmtId="0" fontId="4" fillId="2" borderId="11" pivotButton="0" quotePrefix="0" xfId="0"/>
    <xf numFmtId="0" fontId="4" fillId="2" borderId="21" pivotButton="0" quotePrefix="0" xfId="0"/>
    <xf numFmtId="0" fontId="4" fillId="2" borderId="4" pivotButton="0" quotePrefix="0" xfId="0"/>
    <xf numFmtId="0" fontId="4" fillId="2" borderId="0" pivotButton="0" quotePrefix="0" xfId="0"/>
    <xf numFmtId="0" fontId="4" fillId="2" borderId="5" pivotButton="0" quotePrefix="0" xfId="0"/>
    <xf numFmtId="0" fontId="4" fillId="2" borderId="27" pivotButton="0" quotePrefix="0" xfId="0"/>
    <xf numFmtId="0" fontId="4" fillId="2" borderId="28" pivotButton="0" quotePrefix="0" xfId="0"/>
    <xf numFmtId="0" fontId="4" fillId="2" borderId="29" pivotButton="0" quotePrefix="0" xfId="0"/>
    <xf numFmtId="0" fontId="6" fillId="2" borderId="10" applyAlignment="1" pivotButton="0" quotePrefix="0" xfId="0">
      <alignment horizontal="center" vertical="center"/>
    </xf>
    <xf numFmtId="0" fontId="6" fillId="2" borderId="14" applyAlignment="1" pivotButton="0" quotePrefix="0" xfId="0">
      <alignment horizontal="center" vertical="center"/>
    </xf>
    <xf numFmtId="0" fontId="6" fillId="2" borderId="13" applyAlignment="1" pivotButton="0" quotePrefix="0" xfId="0">
      <alignment horizontal="center" vertical="center"/>
    </xf>
    <xf numFmtId="0" fontId="6" fillId="2" borderId="12" applyAlignment="1" pivotButton="0" quotePrefix="0" xfId="0">
      <alignment horizontal="center" vertical="center"/>
    </xf>
    <xf numFmtId="0" fontId="5" fillId="2" borderId="40" applyAlignment="1" pivotButton="0" quotePrefix="0" xfId="0">
      <alignment horizontal="left" vertical="center"/>
    </xf>
    <xf numFmtId="0" fontId="5" fillId="2" borderId="25" applyAlignment="1" pivotButton="0" quotePrefix="0" xfId="0">
      <alignment horizontal="left" vertical="center"/>
    </xf>
    <xf numFmtId="14" fontId="6" fillId="2" borderId="15" applyAlignment="1" pivotButton="0" quotePrefix="0" xfId="0">
      <alignment horizontal="center" vertical="center"/>
    </xf>
    <xf numFmtId="14" fontId="6" fillId="2" borderId="16" applyAlignment="1" pivotButton="0" quotePrefix="0" xfId="0">
      <alignment horizontal="center" vertical="center"/>
    </xf>
    <xf numFmtId="14" fontId="6" fillId="2" borderId="17" applyAlignment="1" pivotButton="0" quotePrefix="0" xfId="0">
      <alignment horizontal="center" vertical="center"/>
    </xf>
    <xf numFmtId="0" fontId="5" fillId="2" borderId="25" applyAlignment="1" pivotButton="0" quotePrefix="0" xfId="0">
      <alignment horizontal="center" vertical="center"/>
    </xf>
    <xf numFmtId="0" fontId="6" fillId="2" borderId="20" applyAlignment="1" pivotButton="0" quotePrefix="0" xfId="0">
      <alignment horizontal="center" vertical="center" wrapText="1"/>
    </xf>
    <xf numFmtId="0" fontId="6" fillId="2" borderId="11" applyAlignment="1" pivotButton="0" quotePrefix="0" xfId="0">
      <alignment horizontal="center" vertical="center"/>
    </xf>
    <xf numFmtId="0" fontId="6" fillId="2" borderId="19" applyAlignment="1" pivotButton="0" quotePrefix="0" xfId="0">
      <alignment horizontal="center" vertical="center"/>
    </xf>
    <xf numFmtId="0" fontId="6" fillId="2" borderId="15" applyAlignment="1" pivotButton="0" quotePrefix="0" xfId="0">
      <alignment horizontal="center" vertical="center"/>
    </xf>
    <xf numFmtId="0" fontId="6" fillId="2" borderId="16" applyAlignment="1" pivotButton="0" quotePrefix="0" xfId="0">
      <alignment horizontal="center" vertical="center"/>
    </xf>
    <xf numFmtId="0" fontId="6" fillId="2" borderId="17" applyAlignment="1" pivotButton="0" quotePrefix="0" xfId="0">
      <alignment horizontal="center" vertical="center"/>
    </xf>
    <xf numFmtId="0" fontId="5" fillId="2" borderId="22" applyAlignment="1" pivotButton="0" quotePrefix="0" xfId="0">
      <alignment horizontal="left" vertical="center"/>
    </xf>
    <xf numFmtId="0" fontId="5" fillId="2" borderId="16" applyAlignment="1" pivotButton="0" quotePrefix="0" xfId="0">
      <alignment horizontal="left" vertical="center"/>
    </xf>
    <xf numFmtId="0" fontId="5" fillId="2" borderId="17" applyAlignment="1" pivotButton="0" quotePrefix="0" xfId="0">
      <alignment horizontal="left" vertical="center"/>
    </xf>
    <xf numFmtId="0" fontId="6" fillId="2" borderId="15" applyAlignment="1" pivotButton="0" quotePrefix="0" xfId="0">
      <alignment horizontal="left" vertical="center"/>
    </xf>
    <xf numFmtId="0" fontId="6" fillId="2" borderId="16" applyAlignment="1" pivotButton="0" quotePrefix="0" xfId="0">
      <alignment horizontal="left" vertical="center"/>
    </xf>
    <xf numFmtId="0" fontId="6" fillId="2" borderId="23" applyAlignment="1" pivotButton="0" quotePrefix="0" xfId="0">
      <alignment horizontal="left" vertical="center"/>
    </xf>
    <xf numFmtId="0" fontId="5" fillId="6" borderId="9" applyAlignment="1" pivotButton="0" quotePrefix="0" xfId="0">
      <alignment horizontal="center" vertical="center" wrapText="1"/>
    </xf>
    <xf numFmtId="0" fontId="5" fillId="6" borderId="14" applyAlignment="1" pivotButton="0" quotePrefix="0" xfId="0">
      <alignment horizontal="center" vertical="center" wrapText="1"/>
    </xf>
    <xf numFmtId="0" fontId="6" fillId="2" borderId="18" applyAlignment="1" pivotButton="0" quotePrefix="0" xfId="0">
      <alignment horizontal="center" vertical="center" wrapText="1"/>
    </xf>
    <xf numFmtId="0" fontId="6" fillId="2" borderId="19" applyAlignment="1" pivotButton="0" quotePrefix="0" xfId="0">
      <alignment horizontal="center" vertical="center" wrapText="1"/>
    </xf>
    <xf numFmtId="0" fontId="6" fillId="2" borderId="22" applyAlignment="1" pivotButton="0" quotePrefix="0" xfId="0">
      <alignment horizontal="center" vertical="center" wrapText="1"/>
    </xf>
    <xf numFmtId="0" fontId="6" fillId="2" borderId="17" applyAlignment="1" pivotButton="0" quotePrefix="0" xfId="0">
      <alignment horizontal="center" vertical="center" wrapText="1"/>
    </xf>
    <xf numFmtId="0" fontId="5" fillId="2" borderId="9" applyAlignment="1" pivotButton="0" quotePrefix="0" xfId="0">
      <alignment horizontal="left" vertical="center"/>
    </xf>
    <xf numFmtId="0" fontId="5" fillId="2" borderId="10" applyAlignment="1" pivotButton="0" quotePrefix="0" xfId="0">
      <alignment horizontal="left" vertical="center"/>
    </xf>
    <xf numFmtId="0" fontId="5" fillId="2" borderId="14" applyAlignment="1" pivotButton="0" quotePrefix="0" xfId="0">
      <alignment horizontal="left" vertical="center"/>
    </xf>
    <xf numFmtId="1" fontId="6" fillId="2" borderId="13" applyAlignment="1" pivotButton="0" quotePrefix="0" xfId="0">
      <alignment horizontal="center" vertical="center" wrapText="1"/>
    </xf>
    <xf numFmtId="1" fontId="6" fillId="2" borderId="10" applyAlignment="1" pivotButton="0" quotePrefix="0" xfId="0">
      <alignment horizontal="center" vertical="center"/>
    </xf>
    <xf numFmtId="1" fontId="6" fillId="2" borderId="12" applyAlignment="1" pivotButton="0" quotePrefix="0" xfId="0">
      <alignment horizontal="center" vertical="center"/>
    </xf>
    <xf numFmtId="0" fontId="5" fillId="6" borderId="6" applyAlignment="1" pivotButton="0" quotePrefix="0" xfId="0">
      <alignment vertical="center"/>
    </xf>
    <xf numFmtId="0" fontId="5" fillId="6" borderId="7" applyAlignment="1" pivotButton="0" quotePrefix="0" xfId="0">
      <alignment vertical="center"/>
    </xf>
    <xf numFmtId="9" fontId="5" fillId="2" borderId="7" applyAlignment="1" pivotButton="0" quotePrefix="0" xfId="0">
      <alignment horizontal="left" vertical="center"/>
    </xf>
    <xf numFmtId="0" fontId="5" fillId="2" borderId="8" applyAlignment="1" pivotButton="0" quotePrefix="0" xfId="0">
      <alignment horizontal="left" vertical="center"/>
    </xf>
    <xf numFmtId="0" fontId="14" fillId="5" borderId="10" applyAlignment="1" pivotButton="0" quotePrefix="0" xfId="0">
      <alignment horizontal="center" vertical="center"/>
    </xf>
    <xf numFmtId="1" fontId="15" fillId="2" borderId="10" applyAlignment="1" pivotButton="0" quotePrefix="0" xfId="0">
      <alignment horizontal="center" vertical="center" wrapText="1"/>
    </xf>
    <xf numFmtId="1" fontId="15" fillId="2" borderId="12" applyAlignment="1" pivotButton="0" quotePrefix="0" xfId="0">
      <alignment horizontal="center" vertical="center" wrapText="1"/>
    </xf>
    <xf numFmtId="0" fontId="19" fillId="2" borderId="1" applyAlignment="1" pivotButton="0" quotePrefix="0" xfId="0">
      <alignment horizontal="left" vertical="center"/>
    </xf>
    <xf numFmtId="0" fontId="20" fillId="2" borderId="2" applyAlignment="1" pivotButton="0" quotePrefix="0" xfId="0">
      <alignment horizontal="left" vertical="center"/>
    </xf>
    <xf numFmtId="0" fontId="15" fillId="2" borderId="4" applyAlignment="1" pivotButton="0" quotePrefix="0" xfId="0">
      <alignment horizontal="left" vertical="center" wrapText="1"/>
    </xf>
    <xf numFmtId="0" fontId="15" fillId="2" borderId="0" applyAlignment="1" pivotButton="0" quotePrefix="0" xfId="0">
      <alignment horizontal="left" vertical="center" wrapText="1"/>
    </xf>
    <xf numFmtId="0" fontId="5" fillId="2" borderId="11" applyAlignment="1" pivotButton="0" quotePrefix="0" xfId="0">
      <alignment horizontal="left" vertical="center"/>
    </xf>
    <xf numFmtId="0" fontId="5" fillId="2" borderId="19" applyAlignment="1" pivotButton="0" quotePrefix="0" xfId="0">
      <alignment horizontal="left" vertical="center"/>
    </xf>
    <xf numFmtId="0" fontId="6" fillId="2" borderId="11" applyAlignment="1" pivotButton="0" quotePrefix="0" xfId="0">
      <alignment vertical="center"/>
    </xf>
    <xf numFmtId="0" fontId="6" fillId="2" borderId="19" applyAlignment="1" pivotButton="0" quotePrefix="0" xfId="0">
      <alignment vertical="center"/>
    </xf>
    <xf numFmtId="0" fontId="5" fillId="2" borderId="20" applyAlignment="1" pivotButton="0" quotePrefix="0" xfId="0">
      <alignment horizontal="center" vertical="center"/>
    </xf>
    <xf numFmtId="0" fontId="5" fillId="2" borderId="19" applyAlignment="1" pivotButton="0" quotePrefix="0" xfId="0">
      <alignment horizontal="center" vertical="center"/>
    </xf>
    <xf numFmtId="0" fontId="6" fillId="2" borderId="21"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3" fillId="2" borderId="4" applyAlignment="1" pivotButton="0" quotePrefix="0" xfId="0">
      <alignment horizontal="center" vertical="center"/>
    </xf>
    <xf numFmtId="0" fontId="3" fillId="2" borderId="0" applyAlignment="1" pivotButton="0" quotePrefix="0" xfId="0">
      <alignment horizontal="center" vertical="center"/>
    </xf>
    <xf numFmtId="0" fontId="3" fillId="2" borderId="5" applyAlignment="1" pivotButton="0" quotePrefix="0" xfId="0">
      <alignment horizontal="center" vertical="center"/>
    </xf>
    <xf numFmtId="0" fontId="6" fillId="2" borderId="23" applyAlignment="1" pivotButton="0" quotePrefix="0" xfId="0">
      <alignment horizontal="center" vertical="center"/>
    </xf>
    <xf numFmtId="1" fontId="6" fillId="2" borderId="15" applyAlignment="1" pivotButton="0" quotePrefix="0" xfId="0">
      <alignment horizontal="center" vertical="center"/>
    </xf>
    <xf numFmtId="1" fontId="6" fillId="2" borderId="16" applyAlignment="1" pivotButton="0" quotePrefix="0" xfId="0">
      <alignment horizontal="center" vertical="center"/>
    </xf>
    <xf numFmtId="1" fontId="6" fillId="2" borderId="17" applyAlignment="1" pivotButton="0" quotePrefix="0" xfId="0">
      <alignment horizontal="center" vertical="center"/>
    </xf>
    <xf numFmtId="0" fontId="1" fillId="2" borderId="1" applyAlignment="1" pivotButton="0" quotePrefix="0" xfId="0">
      <alignment horizontal="center" vertical="center"/>
    </xf>
    <xf numFmtId="0" fontId="1" fillId="2" borderId="3" applyAlignment="1" pivotButton="0" quotePrefix="0" xfId="0">
      <alignment horizontal="center" vertical="center"/>
    </xf>
    <xf numFmtId="0" fontId="1" fillId="2" borderId="4" applyAlignment="1" pivotButton="0" quotePrefix="0" xfId="0">
      <alignment horizontal="center" vertical="center"/>
    </xf>
    <xf numFmtId="0" fontId="1" fillId="2" borderId="5" applyAlignment="1" pivotButton="0" quotePrefix="0" xfId="0">
      <alignment horizontal="center" vertical="center"/>
    </xf>
    <xf numFmtId="0" fontId="1" fillId="2" borderId="27" applyAlignment="1" pivotButton="0" quotePrefix="0" xfId="0">
      <alignment horizontal="center" vertical="center"/>
    </xf>
    <xf numFmtId="0" fontId="1" fillId="2" borderId="29" applyAlignment="1" pivotButton="0" quotePrefix="0" xfId="0">
      <alignment horizontal="center" vertical="center"/>
    </xf>
    <xf numFmtId="0" fontId="15" fillId="2" borderId="27" applyAlignment="1" pivotButton="0" quotePrefix="0" xfId="0">
      <alignment horizontal="left" vertical="center" wrapText="1"/>
    </xf>
    <xf numFmtId="0" fontId="15" fillId="2" borderId="28" applyAlignment="1" pivotButton="0" quotePrefix="0" xfId="0">
      <alignment horizontal="left" vertical="center" wrapText="1"/>
    </xf>
    <xf numFmtId="2" fontId="9" fillId="2" borderId="13" applyAlignment="1" pivotButton="0" quotePrefix="0" xfId="0">
      <alignment horizontal="center" vertical="center"/>
    </xf>
    <xf numFmtId="2" fontId="9" fillId="2" borderId="14" applyAlignment="1" pivotButton="0" quotePrefix="0" xfId="0">
      <alignment horizontal="center" vertical="center"/>
    </xf>
    <xf numFmtId="0" fontId="11" fillId="2" borderId="9" applyAlignment="1" pivotButton="0" quotePrefix="0" xfId="0">
      <alignment vertical="center"/>
    </xf>
    <xf numFmtId="0" fontId="11" fillId="2" borderId="10" applyAlignment="1" pivotButton="0" quotePrefix="0" xfId="0">
      <alignment vertical="center"/>
    </xf>
    <xf numFmtId="0" fontId="11" fillId="2" borderId="14" applyAlignment="1" pivotButton="0" quotePrefix="0" xfId="0">
      <alignment vertical="center"/>
    </xf>
    <xf numFmtId="2" fontId="8" fillId="2" borderId="13" applyAlignment="1" pivotButton="0" quotePrefix="0" xfId="0">
      <alignment horizontal="left" vertical="center"/>
    </xf>
    <xf numFmtId="2" fontId="8" fillId="2" borderId="10" applyAlignment="1" pivotButton="0" quotePrefix="0" xfId="0">
      <alignment horizontal="left" vertical="center"/>
    </xf>
    <xf numFmtId="2" fontId="8" fillId="2" borderId="12" applyAlignment="1" pivotButton="0" quotePrefix="0" xfId="0">
      <alignment horizontal="left" vertical="center"/>
    </xf>
    <xf numFmtId="2" fontId="8" fillId="2" borderId="7" applyAlignment="1" pivotButton="0" quotePrefix="0" xfId="0">
      <alignment horizontal="center" vertical="center"/>
    </xf>
    <xf numFmtId="0" fontId="9" fillId="2" borderId="25" applyAlignment="1" pivotButton="0" quotePrefix="0" xfId="0">
      <alignment vertical="center"/>
    </xf>
    <xf numFmtId="0" fontId="8" fillId="2" borderId="13" applyAlignment="1" pivotButton="0" quotePrefix="0" xfId="0">
      <alignment horizontal="center" vertical="center"/>
    </xf>
    <xf numFmtId="0" fontId="8" fillId="2" borderId="14" applyAlignment="1" pivotButton="0" quotePrefix="0" xfId="0">
      <alignment horizontal="center" vertical="center"/>
    </xf>
    <xf numFmtId="0" fontId="9" fillId="2" borderId="9" applyAlignment="1" pivotButton="0" quotePrefix="0" xfId="0">
      <alignment horizontal="center" vertical="center"/>
    </xf>
    <xf numFmtId="0" fontId="9" fillId="2" borderId="14" applyAlignment="1" pivotButton="0" quotePrefix="0" xfId="0">
      <alignment horizontal="center" vertical="center"/>
    </xf>
    <xf numFmtId="0" fontId="5" fillId="2" borderId="6" applyAlignment="1" pivotButton="0" quotePrefix="0" xfId="0">
      <alignment vertical="center"/>
    </xf>
    <xf numFmtId="0" fontId="5" fillId="2" borderId="7" applyAlignment="1" pivotButton="0" quotePrefix="0" xfId="0">
      <alignment vertical="center"/>
    </xf>
    <xf numFmtId="0" fontId="6" fillId="2" borderId="7" applyAlignment="1" pivotButton="0" quotePrefix="0" xfId="0">
      <alignment horizontal="left" vertical="center"/>
    </xf>
    <xf numFmtId="0" fontId="6" fillId="2" borderId="8" applyAlignment="1" pivotButton="0" quotePrefix="0" xfId="0">
      <alignment horizontal="left" vertical="center"/>
    </xf>
    <xf numFmtId="0" fontId="9" fillId="2" borderId="9" applyAlignment="1" pivotButton="0" quotePrefix="0" xfId="0">
      <alignment horizontal="left" vertical="center"/>
    </xf>
    <xf numFmtId="0" fontId="9" fillId="2" borderId="10" applyAlignment="1" pivotButton="0" quotePrefix="0" xfId="0">
      <alignment horizontal="left" vertical="center"/>
    </xf>
    <xf numFmtId="0" fontId="9" fillId="2" borderId="14" applyAlignment="1" pivotButton="0" quotePrefix="0" xfId="0">
      <alignment horizontal="left" vertical="center"/>
    </xf>
    <xf numFmtId="0" fontId="9" fillId="2" borderId="6" applyAlignment="1" pivotButton="0" quotePrefix="0" xfId="0">
      <alignment vertical="center" wrapText="1"/>
    </xf>
    <xf numFmtId="0" fontId="9" fillId="2" borderId="7" applyAlignment="1" pivotButton="0" quotePrefix="0" xfId="0">
      <alignment vertical="center" wrapText="1"/>
    </xf>
    <xf numFmtId="0" fontId="8" fillId="2" borderId="7" applyAlignment="1" pivotButton="0" quotePrefix="0" xfId="0">
      <alignment horizontal="left" vertical="center"/>
    </xf>
    <xf numFmtId="0" fontId="8" fillId="2" borderId="8" applyAlignment="1" pivotButton="0" quotePrefix="0" xfId="0">
      <alignment horizontal="left" vertical="center"/>
    </xf>
    <xf numFmtId="0" fontId="5" fillId="6" borderId="6" applyAlignment="1" pivotButton="0" quotePrefix="0" xfId="0">
      <alignment horizontal="left" vertical="center"/>
    </xf>
    <xf numFmtId="0" fontId="5" fillId="6" borderId="7" applyAlignment="1" pivotButton="0" quotePrefix="0" xfId="0">
      <alignment horizontal="left" vertical="center"/>
    </xf>
    <xf numFmtId="0" fontId="5" fillId="5" borderId="9" applyAlignment="1" pivotButton="0" quotePrefix="0" xfId="0">
      <alignment horizontal="center" vertical="center"/>
    </xf>
    <xf numFmtId="0" fontId="5" fillId="5" borderId="10" applyAlignment="1" pivotButton="0" quotePrefix="0" xfId="0">
      <alignment horizontal="center" vertical="center"/>
    </xf>
    <xf numFmtId="0" fontId="5" fillId="5" borderId="12" applyAlignment="1" pivotButton="0" quotePrefix="0" xfId="0">
      <alignment horizontal="center" vertical="center"/>
    </xf>
    <xf numFmtId="0" fontId="6" fillId="2" borderId="9" applyAlignment="1" pivotButton="0" quotePrefix="0" xfId="0">
      <alignment horizontal="left" vertical="center"/>
    </xf>
    <xf numFmtId="0" fontId="6" fillId="2" borderId="14" applyAlignment="1" pivotButton="0" quotePrefix="0" xfId="0">
      <alignment horizontal="left" vertical="center"/>
    </xf>
    <xf numFmtId="0" fontId="5" fillId="2" borderId="7" applyAlignment="1" pivotButton="0" quotePrefix="1" xfId="0">
      <alignment horizontal="center" vertical="center"/>
    </xf>
    <xf numFmtId="11" fontId="5" fillId="2" borderId="13" applyAlignment="1" pivotButton="0" quotePrefix="0" xfId="0">
      <alignment horizontal="center" vertical="center" wrapText="1"/>
    </xf>
    <xf numFmtId="0" fontId="5" fillId="2" borderId="12" applyAlignment="1" pivotButton="0" quotePrefix="0" xfId="0">
      <alignment horizontal="center" vertical="center" wrapText="1"/>
    </xf>
    <xf numFmtId="0" fontId="5" fillId="2" borderId="42" applyAlignment="1" pivotButton="0" quotePrefix="0" xfId="0">
      <alignment horizontal="left" vertical="center"/>
    </xf>
    <xf numFmtId="0" fontId="5" fillId="2" borderId="39" applyAlignment="1" pivotButton="0" quotePrefix="0" xfId="0">
      <alignment horizontal="left" vertical="center"/>
    </xf>
    <xf numFmtId="0" fontId="6" fillId="2" borderId="19" applyAlignment="1" pivotButton="0" quotePrefix="0" xfId="0">
      <alignment horizontal="left" vertical="center"/>
    </xf>
    <xf numFmtId="9" fontId="6" fillId="2" borderId="20" applyAlignment="1" pivotButton="0" quotePrefix="0" xfId="0">
      <alignment horizontal="center" vertical="center"/>
    </xf>
    <xf numFmtId="0" fontId="6" fillId="2" borderId="40" applyAlignment="1" pivotButton="0" quotePrefix="0" xfId="0">
      <alignment horizontal="left" vertical="center"/>
    </xf>
    <xf numFmtId="0" fontId="6" fillId="2" borderId="25" applyAlignment="1" pivotButton="0" quotePrefix="0" xfId="0">
      <alignment horizontal="left" vertical="center"/>
    </xf>
    <xf numFmtId="0" fontId="6" fillId="2" borderId="15" applyAlignment="1" pivotButton="0" quotePrefix="0" xfId="0">
      <alignment horizontal="left" vertical="center" wrapText="1"/>
    </xf>
    <xf numFmtId="0" fontId="6" fillId="2" borderId="16" applyAlignment="1" pivotButton="0" quotePrefix="0" xfId="0">
      <alignment horizontal="left" vertical="center" wrapText="1"/>
    </xf>
    <xf numFmtId="0" fontId="6" fillId="2" borderId="23" applyAlignment="1" pivotButton="0" quotePrefix="0" xfId="0">
      <alignment horizontal="left" vertical="center" wrapText="1"/>
    </xf>
    <xf numFmtId="0" fontId="5" fillId="2" borderId="9" applyAlignment="1" pivotButton="0" quotePrefix="0" xfId="0">
      <alignment horizontal="left" vertical="center" wrapText="1"/>
    </xf>
    <xf numFmtId="0" fontId="5" fillId="2" borderId="10" applyAlignment="1" pivotButton="0" quotePrefix="0" xfId="0">
      <alignment horizontal="left" vertical="center" wrapText="1"/>
    </xf>
    <xf numFmtId="0" fontId="5" fillId="2" borderId="14" applyAlignment="1" pivotButton="0" quotePrefix="0" xfId="0">
      <alignment horizontal="left" vertical="center" wrapText="1"/>
    </xf>
    <xf numFmtId="0" fontId="5" fillId="2" borderId="9" applyAlignment="1" pivotButton="0" quotePrefix="0" xfId="0">
      <alignment vertical="center"/>
    </xf>
    <xf numFmtId="9" fontId="6" fillId="2" borderId="7" applyAlignment="1" pivotButton="0" quotePrefix="0" xfId="0">
      <alignment horizontal="center" vertical="center"/>
    </xf>
    <xf numFmtId="0" fontId="5" fillId="2" borderId="9" applyAlignment="1" pivotButton="0" quotePrefix="0" xfId="0">
      <alignment horizontal="center" vertical="center"/>
    </xf>
    <xf numFmtId="0" fontId="6" fillId="2" borderId="6" applyAlignment="1" pivotButton="0" quotePrefix="0" xfId="0">
      <alignment horizontal="center" vertical="center"/>
    </xf>
    <xf numFmtId="0" fontId="6" fillId="2" borderId="6" applyAlignment="1" pivotButton="0" quotePrefix="0" xfId="0">
      <alignment horizontal="left" vertical="center"/>
    </xf>
    <xf numFmtId="0" fontId="6" fillId="2" borderId="42" applyAlignment="1" pivotButton="0" quotePrefix="0" xfId="0">
      <alignment horizontal="left" vertical="center"/>
    </xf>
    <xf numFmtId="0" fontId="6" fillId="2" borderId="39" applyAlignment="1" pivotButton="0" quotePrefix="0" xfId="0">
      <alignment horizontal="left" vertical="center"/>
    </xf>
    <xf numFmtId="0" fontId="5" fillId="2" borderId="22" applyAlignment="1" pivotButton="0" quotePrefix="0" xfId="0">
      <alignment horizontal="center" vertical="center"/>
    </xf>
    <xf numFmtId="0" fontId="5" fillId="2" borderId="16" applyAlignment="1" pivotButton="0" quotePrefix="0" xfId="0">
      <alignment horizontal="center" vertical="center"/>
    </xf>
    <xf numFmtId="0" fontId="5" fillId="2" borderId="17" applyAlignment="1" pivotButton="0" quotePrefix="0" xfId="0">
      <alignment horizontal="center" vertical="center"/>
    </xf>
    <xf numFmtId="0" fontId="5" fillId="2" borderId="15" applyAlignment="1" pivotButton="0" quotePrefix="0" xfId="0">
      <alignment horizontal="center" vertical="center"/>
    </xf>
    <xf numFmtId="0" fontId="5" fillId="2" borderId="23" applyAlignment="1" pivotButton="0" quotePrefix="0" xfId="0">
      <alignment horizontal="center" vertical="center"/>
    </xf>
    <xf numFmtId="0" fontId="5" fillId="2" borderId="6" applyAlignment="1" pivotButton="0" quotePrefix="0" xfId="0">
      <alignment horizontal="left" vertical="center" wrapText="1"/>
    </xf>
    <xf numFmtId="0" fontId="5" fillId="2" borderId="7" applyAlignment="1" pivotButton="0" quotePrefix="0" xfId="0">
      <alignment horizontal="left" vertical="center" wrapText="1"/>
    </xf>
    <xf numFmtId="2" fontId="6" fillId="2" borderId="10" applyAlignment="1" pivotButton="0" quotePrefix="0" xfId="0">
      <alignment vertical="center"/>
    </xf>
    <xf numFmtId="2" fontId="6" fillId="2" borderId="12" applyAlignment="1" pivotButton="0" quotePrefix="0" xfId="0">
      <alignment vertical="center"/>
    </xf>
    <xf numFmtId="0" fontId="5" fillId="2" borderId="42" applyAlignment="1" pivotButton="0" quotePrefix="0" xfId="0">
      <alignment horizontal="left" vertical="center" wrapText="1"/>
    </xf>
    <xf numFmtId="0" fontId="5" fillId="2" borderId="39" applyAlignment="1" pivotButton="0" quotePrefix="0" xfId="0">
      <alignment horizontal="left" vertical="center" wrapText="1"/>
    </xf>
    <xf numFmtId="0" fontId="6" fillId="2" borderId="39" applyAlignment="1" pivotButton="0" quotePrefix="0" xfId="0">
      <alignment horizontal="center" vertical="center"/>
    </xf>
    <xf numFmtId="0" fontId="6" fillId="2" borderId="43" applyAlignment="1" pivotButton="0" quotePrefix="0" xfId="0">
      <alignment horizontal="center" vertical="center"/>
    </xf>
    <xf numFmtId="0" fontId="6" fillId="4" borderId="31" applyAlignment="1" pivotButton="0" quotePrefix="0" xfId="0">
      <alignment vertical="center"/>
    </xf>
    <xf numFmtId="0" fontId="6" fillId="4" borderId="32" applyAlignment="1" pivotButton="0" quotePrefix="0" xfId="0">
      <alignment vertical="center"/>
    </xf>
    <xf numFmtId="0" fontId="6" fillId="2" borderId="13" applyAlignment="1" pivotButton="0" quotePrefix="0" xfId="0">
      <alignment vertical="center"/>
    </xf>
    <xf numFmtId="0" fontId="6" fillId="2" borderId="10" applyAlignment="1" pivotButton="0" quotePrefix="0" xfId="0">
      <alignment vertical="center"/>
    </xf>
    <xf numFmtId="0" fontId="6" fillId="2" borderId="14" applyAlignment="1" pivotButton="0" quotePrefix="0" xfId="0">
      <alignment vertical="center"/>
    </xf>
    <xf numFmtId="0" fontId="5" fillId="2" borderId="13" applyAlignment="1" pivotButton="0" quotePrefix="0" xfId="0">
      <alignment horizontal="right" vertical="center"/>
    </xf>
    <xf numFmtId="0" fontId="5" fillId="2" borderId="10" applyAlignment="1" pivotButton="0" quotePrefix="0" xfId="0">
      <alignment horizontal="right" vertical="center"/>
    </xf>
    <xf numFmtId="0" fontId="5" fillId="2" borderId="12" applyAlignment="1" pivotButton="0" quotePrefix="0" xfId="0">
      <alignment horizontal="right" vertical="center"/>
    </xf>
    <xf numFmtId="0" fontId="5" fillId="2" borderId="13" applyAlignment="1" pivotButton="0" quotePrefix="0" xfId="0">
      <alignment vertical="center"/>
    </xf>
    <xf numFmtId="1" fontId="6" fillId="2" borderId="10" applyAlignment="1" pivotButton="0" quotePrefix="0" xfId="0">
      <alignment vertical="center"/>
    </xf>
    <xf numFmtId="1" fontId="6" fillId="2" borderId="12" applyAlignment="1" pivotButton="0" quotePrefix="0" xfId="0">
      <alignment vertical="center"/>
    </xf>
    <xf numFmtId="0" fontId="5" fillId="2" borderId="6" applyAlignment="1" pivotButton="0" quotePrefix="0" xfId="0">
      <alignment horizontal="center" vertical="center"/>
    </xf>
    <xf numFmtId="0" fontId="1" fillId="4" borderId="30" applyAlignment="1" pivotButton="0" quotePrefix="0" xfId="0">
      <alignment horizontal="center" vertical="center"/>
    </xf>
    <xf numFmtId="0" fontId="1" fillId="4" borderId="31" applyAlignment="1" pivotButton="0" quotePrefix="0" xfId="0">
      <alignment horizontal="center" vertical="center"/>
    </xf>
    <xf numFmtId="0" fontId="1" fillId="4" borderId="32" applyAlignment="1" pivotButton="0" quotePrefix="0" xfId="0">
      <alignment horizontal="center" vertical="center"/>
    </xf>
    <xf numFmtId="0" fontId="5" fillId="5" borderId="7" applyAlignment="1" pivotButton="0" quotePrefix="0" xfId="0">
      <alignment horizontal="left" vertical="center"/>
    </xf>
    <xf numFmtId="0" fontId="4" fillId="5" borderId="7" applyAlignment="1" pivotButton="0" quotePrefix="0" xfId="0">
      <alignment horizontal="left"/>
    </xf>
    <xf numFmtId="0" fontId="5" fillId="2" borderId="10" applyAlignment="1" pivotButton="0" quotePrefix="0" xfId="0">
      <alignment horizontal="center"/>
    </xf>
    <xf numFmtId="0" fontId="5" fillId="2" borderId="12" applyAlignment="1" pivotButton="0" quotePrefix="0" xfId="0">
      <alignment horizontal="center"/>
    </xf>
    <xf numFmtId="0" fontId="7" fillId="2" borderId="14" applyAlignment="1" pivotButton="0" quotePrefix="0" xfId="0">
      <alignment horizontal="center" vertical="center" wrapText="1"/>
    </xf>
    <xf numFmtId="0" fontId="5" fillId="2" borderId="13" applyAlignment="1" pivotButton="0" quotePrefix="0" xfId="0">
      <alignment horizontal="left" vertical="center" wrapText="1"/>
    </xf>
    <xf numFmtId="0" fontId="5" fillId="2" borderId="12" applyAlignment="1" pivotButton="0" quotePrefix="0" xfId="0">
      <alignment horizontal="left" vertical="center" wrapText="1"/>
    </xf>
    <xf numFmtId="0" fontId="7" fillId="2" borderId="7" applyAlignment="1" pivotButton="0" quotePrefix="0" xfId="0">
      <alignment horizontal="center" vertical="center" wrapText="1"/>
    </xf>
    <xf numFmtId="0" fontId="14" fillId="5" borderId="7" applyAlignment="1" pivotButton="0" quotePrefix="0" xfId="0">
      <alignment horizontal="center" vertical="center"/>
    </xf>
    <xf numFmtId="0" fontId="14" fillId="2" borderId="18" applyAlignment="1" pivotButton="0" quotePrefix="0" xfId="0">
      <alignment horizontal="center" vertical="center"/>
    </xf>
    <xf numFmtId="0" fontId="14" fillId="2" borderId="11" applyAlignment="1" pivotButton="0" quotePrefix="0" xfId="0">
      <alignment horizontal="center" vertical="center"/>
    </xf>
    <xf numFmtId="0" fontId="14" fillId="2" borderId="21" applyAlignment="1" pivotButton="0" quotePrefix="0" xfId="0">
      <alignment horizontal="center" vertical="center"/>
    </xf>
    <xf numFmtId="0" fontId="14" fillId="2" borderId="4" applyAlignment="1" pivotButton="0" quotePrefix="0" xfId="0">
      <alignment horizontal="center" vertical="center"/>
    </xf>
    <xf numFmtId="0" fontId="14" fillId="2" borderId="0" applyAlignment="1" pivotButton="0" quotePrefix="0" xfId="0">
      <alignment horizontal="center" vertical="center"/>
    </xf>
    <xf numFmtId="0" fontId="14" fillId="2" borderId="5" applyAlignment="1" pivotButton="0" quotePrefix="0" xfId="0">
      <alignment horizontal="center" vertical="center"/>
    </xf>
    <xf numFmtId="0" fontId="14" fillId="2" borderId="27" applyAlignment="1" pivotButton="0" quotePrefix="0" xfId="0">
      <alignment horizontal="center" vertical="center"/>
    </xf>
    <xf numFmtId="0" fontId="14" fillId="2" borderId="28" applyAlignment="1" pivotButton="0" quotePrefix="0" xfId="0">
      <alignment horizontal="center" vertical="center"/>
    </xf>
    <xf numFmtId="0" fontId="14" fillId="2" borderId="29" applyAlignment="1" pivotButton="0" quotePrefix="0" xfId="0">
      <alignment horizontal="center" vertical="center"/>
    </xf>
    <xf numFmtId="0" fontId="5" fillId="2" borderId="8" applyAlignment="1" pivotButton="0" quotePrefix="0" xfId="0">
      <alignment horizontal="left" vertical="center" wrapText="1"/>
    </xf>
    <xf numFmtId="0" fontId="16" fillId="4" borderId="31" applyAlignment="1" pivotButton="0" quotePrefix="0" xfId="0">
      <alignment horizontal="center" vertical="center"/>
    </xf>
    <xf numFmtId="0" fontId="16" fillId="4" borderId="32" applyAlignment="1" pivotButton="0" quotePrefix="0" xfId="0">
      <alignment horizontal="center" vertical="center"/>
    </xf>
    <xf numFmtId="0" fontId="4" fillId="2" borderId="1" applyAlignment="1" pivotButton="0" quotePrefix="0" xfId="0">
      <alignment horizontal="center" vertical="center"/>
    </xf>
    <xf numFmtId="0" fontId="4" fillId="2" borderId="2" applyAlignment="1" pivotButton="0" quotePrefix="0" xfId="0">
      <alignment horizontal="center" vertical="center"/>
    </xf>
    <xf numFmtId="0" fontId="4" fillId="2" borderId="3" applyAlignment="1" pivotButton="0" quotePrefix="0" xfId="0">
      <alignment horizontal="center"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5" applyAlignment="1" pivotButton="0" quotePrefix="0" xfId="0">
      <alignment horizontal="center" vertical="center"/>
    </xf>
    <xf numFmtId="0" fontId="5" fillId="4" borderId="1"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27" applyAlignment="1" pivotButton="0" quotePrefix="0" xfId="0">
      <alignment horizontal="center" vertical="center"/>
    </xf>
    <xf numFmtId="0" fontId="5" fillId="4" borderId="28" applyAlignment="1" pivotButton="0" quotePrefix="0" xfId="0">
      <alignment horizontal="center" vertical="center"/>
    </xf>
    <xf numFmtId="0" fontId="5" fillId="4" borderId="29" applyAlignment="1" pivotButton="0" quotePrefix="0" xfId="0">
      <alignment horizontal="center" vertical="center"/>
    </xf>
    <xf numFmtId="0" fontId="3" fillId="2" borderId="36" applyAlignment="1" pivotButton="0" quotePrefix="0" xfId="0">
      <alignment horizontal="left" vertical="center" wrapText="1"/>
    </xf>
    <xf numFmtId="0" fontId="3" fillId="2" borderId="37" applyAlignment="1" pivotButton="0" quotePrefix="0" xfId="0">
      <alignment horizontal="left" vertical="center" wrapText="1"/>
    </xf>
    <xf numFmtId="0" fontId="3" fillId="2" borderId="38" applyAlignment="1" pivotButton="0" quotePrefix="0" xfId="0">
      <alignment horizontal="left" vertical="center" wrapText="1"/>
    </xf>
    <xf numFmtId="0" fontId="3" fillId="2" borderId="6" applyAlignment="1" pivotButton="0" quotePrefix="0" xfId="0">
      <alignment horizontal="left" vertical="center" wrapText="1"/>
    </xf>
    <xf numFmtId="0" fontId="3" fillId="2" borderId="7" applyAlignment="1" pivotButton="0" quotePrefix="0" xfId="0">
      <alignment horizontal="left" vertical="center" wrapText="1"/>
    </xf>
    <xf numFmtId="0" fontId="3" fillId="2" borderId="13" applyAlignment="1" pivotButton="0" quotePrefix="0" xfId="0">
      <alignment horizontal="left" vertical="center" wrapText="1"/>
    </xf>
    <xf numFmtId="0" fontId="3" fillId="2" borderId="10" applyAlignment="1" pivotButton="0" quotePrefix="0" xfId="0">
      <alignment horizontal="left" vertical="center" wrapText="1"/>
    </xf>
    <xf numFmtId="0" fontId="3" fillId="2" borderId="14" applyAlignment="1" pivotButton="0" quotePrefix="0" xfId="0">
      <alignment horizontal="left" vertical="center" wrapText="1"/>
    </xf>
    <xf numFmtId="0" fontId="3" fillId="2" borderId="12" applyAlignment="1" pivotButton="0" quotePrefix="0" xfId="0">
      <alignment horizontal="left" vertical="center" wrapText="1"/>
    </xf>
    <xf numFmtId="0" fontId="17" fillId="2" borderId="1" applyAlignment="1" pivotButton="0" quotePrefix="0" xfId="0">
      <alignment horizontal="center" vertical="center"/>
    </xf>
    <xf numFmtId="0" fontId="14" fillId="2" borderId="1" applyAlignment="1" pivotButton="0" quotePrefix="0" xfId="0">
      <alignment horizontal="center" vertical="center"/>
    </xf>
    <xf numFmtId="0" fontId="14" fillId="2" borderId="2" applyAlignment="1" pivotButton="0" quotePrefix="0" xfId="0">
      <alignment horizontal="center" vertical="center"/>
    </xf>
    <xf numFmtId="0" fontId="14" fillId="2" borderId="3" applyAlignment="1" pivotButton="0" quotePrefix="0" xfId="0">
      <alignment horizontal="center" vertical="center"/>
    </xf>
    <xf numFmtId="0" fontId="4" fillId="2" borderId="28" applyAlignment="1" pivotButton="0" quotePrefix="0" xfId="0">
      <alignment horizontal="center" vertical="center"/>
    </xf>
    <xf numFmtId="0" fontId="4" fillId="2" borderId="29" applyAlignment="1" pivotButton="0" quotePrefix="0" xfId="0">
      <alignment horizontal="center" vertical="center"/>
    </xf>
    <xf numFmtId="0" fontId="4" fillId="2" borderId="27" applyAlignment="1" pivotButton="0" quotePrefix="0" xfId="0">
      <alignment horizontal="center" vertical="center"/>
    </xf>
    <xf numFmtId="0" fontId="18" fillId="4" borderId="1" applyAlignment="1" pivotButton="0" quotePrefix="0" xfId="0">
      <alignment horizontal="center" vertical="center" wrapText="1"/>
    </xf>
    <xf numFmtId="0" fontId="18" fillId="4" borderId="2" applyAlignment="1" pivotButton="0" quotePrefix="0" xfId="0">
      <alignment horizontal="center" vertical="center" wrapText="1"/>
    </xf>
    <xf numFmtId="0" fontId="18" fillId="4" borderId="3" applyAlignment="1" pivotButton="0" quotePrefix="0" xfId="0">
      <alignment horizontal="center" vertical="center" wrapText="1"/>
    </xf>
    <xf numFmtId="0" fontId="5" fillId="4" borderId="4" applyAlignment="1" pivotButton="0" quotePrefix="0" xfId="0">
      <alignment horizontal="left" vertical="center" wrapText="1"/>
    </xf>
    <xf numFmtId="0" fontId="5" fillId="4" borderId="0" applyAlignment="1" pivotButton="0" quotePrefix="0" xfId="0">
      <alignment horizontal="left" vertical="center" wrapText="1"/>
    </xf>
    <xf numFmtId="0" fontId="5" fillId="4" borderId="5" applyAlignment="1" pivotButton="0" quotePrefix="0" xfId="0">
      <alignment horizontal="left" vertical="center" wrapText="1"/>
    </xf>
    <xf numFmtId="0" fontId="5" fillId="4" borderId="27" applyAlignment="1" pivotButton="0" quotePrefix="0" xfId="0">
      <alignment horizontal="left" vertical="center" wrapText="1"/>
    </xf>
    <xf numFmtId="0" fontId="5" fillId="4" borderId="28" applyAlignment="1" pivotButton="0" quotePrefix="0" xfId="0">
      <alignment horizontal="left" vertical="center" wrapText="1"/>
    </xf>
    <xf numFmtId="0" fontId="5" fillId="4" borderId="29" applyAlignment="1" pivotButton="0" quotePrefix="0" xfId="0">
      <alignment horizontal="left" vertical="center" wrapText="1"/>
    </xf>
    <xf numFmtId="0" fontId="5" fillId="2" borderId="30" applyAlignment="1" pivotButton="0" quotePrefix="0" xfId="0">
      <alignment horizontal="center" vertical="center" textRotation="45"/>
    </xf>
    <xf numFmtId="0" fontId="5" fillId="2" borderId="31" applyAlignment="1" pivotButton="0" quotePrefix="0" xfId="0">
      <alignment horizontal="center" vertical="center" textRotation="45"/>
    </xf>
    <xf numFmtId="0" fontId="5" fillId="2" borderId="32" applyAlignment="1" pivotButton="0" quotePrefix="0" xfId="0">
      <alignment horizontal="center" vertical="center" textRotation="45"/>
    </xf>
    <xf numFmtId="0" fontId="5" fillId="2" borderId="21" applyAlignment="1" pivotButton="0" quotePrefix="0" xfId="0">
      <alignment horizontal="left" vertical="center" wrapText="1"/>
    </xf>
    <xf numFmtId="0" fontId="6" fillId="2" borderId="4" applyAlignment="1" pivotButton="0" quotePrefix="0" xfId="0">
      <alignment horizontal="left" vertical="center" wrapText="1"/>
    </xf>
    <xf numFmtId="0" fontId="5" fillId="2" borderId="18" applyAlignment="1" pivotButton="0" quotePrefix="0" xfId="0">
      <alignment horizontal="center" vertical="center" wrapText="1"/>
    </xf>
    <xf numFmtId="0" fontId="5" fillId="2" borderId="11" applyAlignment="1" pivotButton="0" quotePrefix="0" xfId="0">
      <alignment horizontal="center" vertical="center" wrapText="1"/>
    </xf>
    <xf numFmtId="0" fontId="5" fillId="2" borderId="4" applyAlignment="1" pivotButton="0" quotePrefix="0" xfId="0">
      <alignment horizontal="center" vertical="center" wrapText="1"/>
    </xf>
    <xf numFmtId="0" fontId="5" fillId="2" borderId="0" applyAlignment="1" pivotButton="0" quotePrefix="0" xfId="0">
      <alignment horizontal="center" vertical="center" wrapText="1"/>
    </xf>
    <xf numFmtId="1" fontId="5" fillId="2" borderId="20" applyAlignment="1" pivotButton="0" quotePrefix="0" xfId="0">
      <alignment horizontal="center" vertical="center" wrapText="1"/>
    </xf>
    <xf numFmtId="1" fontId="5" fillId="2" borderId="11" applyAlignment="1" pivotButton="0" quotePrefix="0" xfId="0">
      <alignment horizontal="center" vertical="center" wrapText="1"/>
    </xf>
    <xf numFmtId="1" fontId="5" fillId="2" borderId="21" applyAlignment="1" pivotButton="0" quotePrefix="0" xfId="0">
      <alignment horizontal="center" vertical="center" wrapText="1"/>
    </xf>
    <xf numFmtId="1" fontId="5" fillId="2" borderId="10" applyAlignment="1" pivotButton="0" quotePrefix="0" xfId="0">
      <alignment horizontal="center" vertical="center" wrapText="1"/>
    </xf>
    <xf numFmtId="1" fontId="5" fillId="2" borderId="13" applyAlignment="1" pivotButton="0" quotePrefix="0" xfId="0">
      <alignment vertical="center"/>
    </xf>
    <xf numFmtId="1" fontId="5" fillId="2" borderId="10" applyAlignment="1" pivotButton="0" quotePrefix="0" xfId="0">
      <alignment vertical="center"/>
    </xf>
    <xf numFmtId="1" fontId="5" fillId="2" borderId="12" applyAlignment="1" pivotButton="0" quotePrefix="0" xfId="0">
      <alignment vertical="center"/>
    </xf>
    <xf numFmtId="2" fontId="6" fillId="2" borderId="13" applyAlignment="1" pivotButton="0" quotePrefix="0" xfId="0">
      <alignment vertical="center"/>
    </xf>
    <xf numFmtId="0" fontId="0" fillId="0" borderId="2" pivotButton="0" quotePrefix="0" xfId="0"/>
    <xf numFmtId="0" fontId="1" fillId="2" borderId="48"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0" fillId="0" borderId="28" pivotButton="0" quotePrefix="0" xfId="0"/>
    <xf numFmtId="0" fontId="0" fillId="0" borderId="27" pivotButton="0" quotePrefix="0" xfId="0"/>
    <xf numFmtId="0" fontId="0" fillId="0" borderId="29" pivotButton="0" quotePrefix="0" xfId="0"/>
    <xf numFmtId="0" fontId="0" fillId="0" borderId="31" pivotButton="0" quotePrefix="0" xfId="0"/>
    <xf numFmtId="0" fontId="0" fillId="0" borderId="54" pivotButton="0" quotePrefix="0" xfId="0"/>
    <xf numFmtId="0" fontId="3" fillId="2" borderId="47" applyAlignment="1" pivotButton="0" quotePrefix="0" xfId="0">
      <alignment horizontal="center" vertical="center"/>
    </xf>
    <xf numFmtId="0" fontId="0" fillId="0" borderId="32" pivotButton="0" quotePrefix="0" xfId="0"/>
    <xf numFmtId="0" fontId="0" fillId="0" borderId="16" pivotButton="0" quotePrefix="0" xfId="0"/>
    <xf numFmtId="0" fontId="0" fillId="0" borderId="17" pivotButton="0" quotePrefix="0" xfId="0"/>
    <xf numFmtId="14" fontId="6" fillId="2" borderId="25" applyAlignment="1" pivotButton="0" quotePrefix="0" xfId="0">
      <alignment horizontal="center" vertical="center"/>
    </xf>
    <xf numFmtId="0" fontId="6" fillId="2" borderId="26" applyAlignment="1" pivotButton="0" quotePrefix="0" xfId="0">
      <alignment horizontal="center" vertical="center"/>
    </xf>
    <xf numFmtId="0" fontId="0" fillId="0" borderId="23" pivotButton="0" quotePrefix="0" xfId="0"/>
    <xf numFmtId="0" fontId="0" fillId="0" borderId="10" pivotButton="0" quotePrefix="0" xfId="0"/>
    <xf numFmtId="0" fontId="0" fillId="0" borderId="14" pivotButton="0" quotePrefix="0" xfId="0"/>
    <xf numFmtId="1" fontId="6" fillId="2" borderId="25" applyAlignment="1" pivotButton="0" quotePrefix="0" xfId="0">
      <alignment horizontal="center" vertical="center"/>
    </xf>
    <xf numFmtId="0" fontId="0" fillId="0" borderId="12" pivotButton="0" quotePrefix="0" xfId="0"/>
    <xf numFmtId="1" fontId="6" fillId="2" borderId="8" applyAlignment="1" pivotButton="0" quotePrefix="0" xfId="0">
      <alignment horizontal="center" vertical="center" wrapText="1"/>
    </xf>
    <xf numFmtId="0" fontId="6" fillId="2" borderId="39" applyAlignment="1" pivotButton="0" quotePrefix="0" xfId="0">
      <alignment horizontal="center" vertical="center" wrapText="1"/>
    </xf>
    <xf numFmtId="0" fontId="0" fillId="0" borderId="11" pivotButton="0" quotePrefix="0" xfId="0"/>
    <xf numFmtId="0" fontId="0" fillId="0" borderId="19" pivotButton="0" quotePrefix="0" xfId="0"/>
    <xf numFmtId="0" fontId="5" fillId="2" borderId="39" applyAlignment="1" pivotButton="0" quotePrefix="0" xfId="0">
      <alignment horizontal="center" vertical="center"/>
    </xf>
    <xf numFmtId="0" fontId="6" fillId="2" borderId="43" applyAlignment="1" pivotButton="0" quotePrefix="0" xfId="0">
      <alignment horizontal="center" vertical="center" wrapText="1"/>
    </xf>
    <xf numFmtId="0" fontId="0" fillId="0" borderId="21" pivotButton="0" quotePrefix="0" xfId="0"/>
    <xf numFmtId="0" fontId="6" fillId="2" borderId="26" applyAlignment="1" pivotButton="0" quotePrefix="0" xfId="0">
      <alignment horizontal="left" vertical="center"/>
    </xf>
    <xf numFmtId="0" fontId="5" fillId="6" borderId="6" applyAlignment="1" pivotButton="0" quotePrefix="0" xfId="0">
      <alignment horizontal="center" vertical="center" wrapText="1"/>
    </xf>
    <xf numFmtId="0" fontId="0" fillId="0" borderId="22" pivotButton="0" quotePrefix="0" xfId="0"/>
    <xf numFmtId="0" fontId="0" fillId="0" borderId="15" pivotButton="0" quotePrefix="0" xfId="0"/>
    <xf numFmtId="0" fontId="6" fillId="2" borderId="43" applyAlignment="1" pivotButton="0" quotePrefix="0" xfId="0">
      <alignment horizontal="left" vertical="center"/>
    </xf>
    <xf numFmtId="0" fontId="0" fillId="0" borderId="24" pivotButton="0" quotePrefix="0" xfId="0"/>
    <xf numFmtId="0" fontId="6" fillId="2" borderId="53" applyAlignment="1" pivotButton="0" quotePrefix="0" xfId="0">
      <alignment horizontal="center" vertical="center" wrapText="1"/>
    </xf>
    <xf numFmtId="1" fontId="6" fillId="2" borderId="7" applyAlignment="1" pivotButton="0" quotePrefix="0" xfId="0">
      <alignment horizontal="center" vertical="center"/>
    </xf>
    <xf numFmtId="0" fontId="7" fillId="2" borderId="8" applyAlignment="1" pivotButton="0" quotePrefix="0" xfId="0">
      <alignment horizontal="center" vertical="center" wrapText="1"/>
    </xf>
    <xf numFmtId="0" fontId="6" fillId="2" borderId="43" applyAlignment="1" pivotButton="0" quotePrefix="0" xfId="0">
      <alignment horizontal="left" vertical="center" wrapText="1"/>
    </xf>
    <xf numFmtId="0" fontId="0" fillId="0" borderId="41" pivotButton="0" quotePrefix="0" xfId="0"/>
    <xf numFmtId="0" fontId="8" fillId="2" borderId="55" applyAlignment="1" pivotButton="0" quotePrefix="0" xfId="0">
      <alignment horizontal="center" vertical="center"/>
    </xf>
    <xf numFmtId="0" fontId="0" fillId="0" borderId="44" pivotButton="0" quotePrefix="0" xfId="0"/>
    <xf numFmtId="0" fontId="9" fillId="2" borderId="6" applyAlignment="1" pivotButton="0" quotePrefix="0" xfId="0">
      <alignment horizontal="center" vertical="center"/>
    </xf>
    <xf numFmtId="2" fontId="9" fillId="2" borderId="7" applyAlignment="1" pivotButton="0" quotePrefix="0" xfId="0">
      <alignment horizontal="center" vertical="center"/>
    </xf>
    <xf numFmtId="2" fontId="8" fillId="2" borderId="8" applyAlignment="1" pivotButton="0" quotePrefix="0" xfId="0">
      <alignment horizontal="left" vertical="center"/>
    </xf>
    <xf numFmtId="0" fontId="9" fillId="2" borderId="6" applyAlignment="1" pivotButton="0" quotePrefix="0" xfId="0">
      <alignment horizontal="left" vertical="center"/>
    </xf>
    <xf numFmtId="0" fontId="5" fillId="5" borderId="53" applyAlignment="1" pivotButton="0" quotePrefix="0" xfId="0">
      <alignment horizontal="center" vertical="center"/>
    </xf>
    <xf numFmtId="11" fontId="5" fillId="2" borderId="7" applyAlignment="1" pivotButton="0" quotePrefix="0" xfId="0">
      <alignment horizontal="center" vertical="center" wrapText="1"/>
    </xf>
    <xf numFmtId="11" fontId="5" fillId="2" borderId="8" applyAlignment="1" pivotButton="0" quotePrefix="0" xfId="0">
      <alignment horizontal="center" vertical="center" wrapText="1"/>
    </xf>
    <xf numFmtId="0" fontId="5" fillId="2" borderId="8" applyAlignment="1" pivotButton="0" quotePrefix="0" xfId="0">
      <alignment horizontal="center" vertical="center" wrapText="1"/>
    </xf>
    <xf numFmtId="9" fontId="6" fillId="2" borderId="43" applyAlignment="1" pivotButton="0" quotePrefix="0" xfId="0">
      <alignment horizontal="center" vertical="center"/>
    </xf>
    <xf numFmtId="0" fontId="6" fillId="2" borderId="26" applyAlignment="1" pivotButton="0" quotePrefix="0" xfId="0">
      <alignment horizontal="left" vertical="center" wrapText="1"/>
    </xf>
    <xf numFmtId="0" fontId="6" fillId="2" borderId="8" applyAlignment="1" pivotButton="0" quotePrefix="0" xfId="0">
      <alignment horizontal="left" vertical="center" wrapText="1"/>
    </xf>
    <xf numFmtId="0" fontId="5" fillId="2" borderId="40" applyAlignment="1" pivotButton="0" quotePrefix="0" xfId="0">
      <alignment horizontal="center" vertical="center"/>
    </xf>
    <xf numFmtId="0" fontId="5" fillId="2" borderId="52" applyAlignment="1" pivotButton="0" quotePrefix="0" xfId="0">
      <alignment horizontal="center" vertical="center"/>
    </xf>
    <xf numFmtId="0" fontId="6" fillId="2" borderId="7" applyAlignment="1" pivotButton="0" quotePrefix="0" xfId="0">
      <alignment vertical="center"/>
    </xf>
    <xf numFmtId="0" fontId="5" fillId="2" borderId="8" applyAlignment="1" pivotButton="0" quotePrefix="0" xfId="0">
      <alignment horizontal="right" vertical="center"/>
    </xf>
    <xf numFmtId="1" fontId="5" fillId="2" borderId="8" applyAlignment="1" pivotButton="0" quotePrefix="0" xfId="0">
      <alignment vertical="center"/>
    </xf>
    <xf numFmtId="2" fontId="6" fillId="2" borderId="8" applyAlignment="1" pivotButton="0" quotePrefix="0" xfId="0">
      <alignment vertical="center"/>
    </xf>
    <xf numFmtId="1" fontId="5" fillId="2" borderId="43" applyAlignment="1" pivotButton="0" quotePrefix="0" xfId="0">
      <alignment horizontal="center" vertical="center" wrapText="1"/>
    </xf>
    <xf numFmtId="0" fontId="5" fillId="2" borderId="45" applyAlignment="1" pivotButton="0" quotePrefix="0" xfId="0">
      <alignment horizontal="left" vertical="center" wrapText="1"/>
    </xf>
    <xf numFmtId="0" fontId="6" fillId="2" borderId="47" applyAlignment="1" pivotButton="0" quotePrefix="0" xfId="0">
      <alignment horizontal="left" vertical="center" wrapText="1"/>
    </xf>
    <xf numFmtId="0" fontId="5" fillId="2" borderId="48" applyAlignment="1" pivotButton="0" quotePrefix="0" xfId="0">
      <alignment horizontal="center" vertical="center" textRotation="45"/>
    </xf>
    <xf numFmtId="0" fontId="18" fillId="4" borderId="46" applyAlignment="1" pivotButton="0" quotePrefix="0" xfId="0">
      <alignment horizontal="center" vertical="center" wrapText="1"/>
    </xf>
    <xf numFmtId="0" fontId="5" fillId="4" borderId="47" applyAlignment="1" pivotButton="0" quotePrefix="0" xfId="0">
      <alignment horizontal="left" vertical="center" wrapText="1"/>
    </xf>
    <xf numFmtId="0" fontId="14" fillId="2" borderId="45" applyAlignment="1" pivotButton="0" quotePrefix="0" xfId="0">
      <alignment horizontal="center" vertical="center"/>
    </xf>
    <xf numFmtId="0" fontId="14" fillId="2" borderId="51" applyAlignment="1" pivotButton="0" quotePrefix="0" xfId="0">
      <alignment horizontal="center" vertical="center"/>
    </xf>
    <xf numFmtId="0" fontId="1" fillId="4" borderId="48" applyAlignment="1" pivotButton="0" quotePrefix="0" xfId="0">
      <alignment horizontal="center" vertical="center"/>
    </xf>
    <xf numFmtId="0" fontId="4" fillId="2" borderId="46" applyAlignment="1" pivotButton="0" quotePrefix="0" xfId="0">
      <alignment horizontal="center" vertical="center"/>
    </xf>
    <xf numFmtId="0" fontId="14" fillId="2" borderId="46" applyAlignment="1" pivotButton="0" quotePrefix="0" xfId="0">
      <alignment horizontal="center" vertical="center"/>
    </xf>
    <xf numFmtId="0" fontId="17" fillId="2" borderId="46" applyAlignment="1" pivotButton="0" quotePrefix="0" xfId="0">
      <alignment horizontal="center" vertical="center"/>
    </xf>
    <xf numFmtId="0" fontId="14" fillId="2" borderId="50" applyAlignment="1" pivotButton="0" quotePrefix="0" xfId="0">
      <alignment horizontal="center" vertical="center"/>
    </xf>
    <xf numFmtId="0" fontId="5" fillId="4" borderId="48" applyAlignment="1" pivotButton="0" quotePrefix="0" xfId="0">
      <alignment horizontal="center" vertical="center"/>
    </xf>
    <xf numFmtId="0" fontId="4" fillId="2" borderId="48" applyAlignment="1" pivotButton="0" quotePrefix="0" xfId="0">
      <alignment horizontal="center" vertical="center"/>
    </xf>
    <xf numFmtId="0" fontId="3" fillId="2" borderId="49" applyAlignment="1" pivotButton="0" quotePrefix="0" xfId="0">
      <alignment horizontal="left" vertical="center" wrapText="1"/>
    </xf>
    <xf numFmtId="0" fontId="0" fillId="0" borderId="37" pivotButton="0" quotePrefix="0" xfId="0"/>
    <xf numFmtId="0" fontId="0" fillId="0" borderId="38" pivotButton="0" quotePrefix="0" xfId="0"/>
    <xf numFmtId="0" fontId="3" fillId="2" borderId="8" applyAlignment="1" pivotButton="0" quotePrefix="0" xfId="0">
      <alignment horizontal="left" vertical="center" wrapText="1"/>
    </xf>
    <xf numFmtId="0" fontId="4" fillId="2" borderId="5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9</col>
      <colOff>0</colOff>
      <row>0</row>
      <rowOff>0</rowOff>
    </from>
    <to>
      <col>10</col>
      <colOff>2503714</colOff>
      <row>3</row>
      <rowOff>310984</rowOff>
    </to>
    <pic>
      <nvPicPr>
        <cNvPr id="25" name="Picture 2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634107" y="0"/>
          <a:ext cx="3524250" cy="1603663"/>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328"/>
  <sheetViews>
    <sheetView tabSelected="1" view="pageBreakPreview" topLeftCell="A116" zoomScale="55" zoomScaleNormal="55" zoomScaleSheetLayoutView="55" workbookViewId="0">
      <selection activeCell="B125" sqref="B125:K125"/>
    </sheetView>
  </sheetViews>
  <sheetFormatPr baseColWidth="8" defaultColWidth="9.109375" defaultRowHeight="15"/>
  <cols>
    <col width="20.44140625" customWidth="1" style="16" min="1" max="1"/>
    <col width="15.109375" customWidth="1" style="16" min="2" max="2"/>
    <col width="27.109375" customWidth="1" style="16" min="3" max="3"/>
    <col width="19.109375" bestFit="1" customWidth="1" style="16" min="4" max="4"/>
    <col width="18.5546875" customWidth="1" style="16" min="5" max="5"/>
    <col width="24.109375" customWidth="1" style="16" min="6" max="6"/>
    <col width="17.109375" customWidth="1" style="16" min="7" max="7"/>
    <col width="22.33203125" customWidth="1" style="16" min="8" max="8"/>
    <col width="17.109375" customWidth="1" style="16" min="9" max="9"/>
    <col width="15.33203125" customWidth="1" style="16" min="10" max="10"/>
    <col width="38.88671875" customWidth="1" style="16" min="11" max="11"/>
    <col width="9.109375" customWidth="1" style="1" min="12" max="16384"/>
  </cols>
  <sheetData>
    <row r="1" ht="57.75" customHeight="1">
      <c r="A1" s="174" t="inlineStr">
        <is>
          <t>SAKSHAM ASSOCIATE</t>
        </is>
      </c>
      <c r="B1" s="360" t="n"/>
      <c r="C1" s="360" t="n"/>
      <c r="D1" s="360" t="n"/>
      <c r="E1" s="360" t="n"/>
      <c r="F1" s="360" t="n"/>
      <c r="G1" s="360" t="n"/>
      <c r="H1" s="360" t="n"/>
      <c r="I1" s="360" t="n"/>
      <c r="J1" s="361" t="inlineStr">
        <is>
          <t>OWN LOGO</t>
        </is>
      </c>
      <c r="K1" s="362" t="n"/>
    </row>
    <row r="2" ht="24" customHeight="1">
      <c r="A2" s="88" t="inlineStr">
        <is>
          <t>ADDRESS :- FF Gaurav Business Sqaure Sanchi road Vidisha</t>
        </is>
      </c>
      <c r="J2" s="363" t="n"/>
      <c r="K2" s="364" t="n"/>
    </row>
    <row r="3" ht="20.25" customHeight="1">
      <c r="A3" s="176" t="n"/>
      <c r="J3" s="363" t="n"/>
      <c r="K3" s="364" t="n"/>
    </row>
    <row r="4" ht="28.5" customHeight="1" thickBot="1">
      <c r="A4" s="201" t="inlineStr">
        <is>
          <t>CONTACT NUMBER ;- 9425327032</t>
        </is>
      </c>
      <c r="B4" s="365" t="n"/>
      <c r="C4" s="365" t="n"/>
      <c r="D4" s="365" t="n"/>
      <c r="E4" s="365" t="n"/>
      <c r="F4" s="202" t="inlineStr">
        <is>
          <t>MAIL ID :-Sakshamvaluer@yahoo.com</t>
        </is>
      </c>
      <c r="G4" s="365" t="n"/>
      <c r="H4" s="365" t="n"/>
      <c r="I4" s="365" t="n"/>
      <c r="J4" s="366" t="n"/>
      <c r="K4" s="367" t="n"/>
    </row>
    <row r="5" ht="28.8" customHeight="1" thickBot="1">
      <c r="A5" s="185" t="inlineStr">
        <is>
          <t>LAXMI INDIA FINANCE LIMITED.</t>
        </is>
      </c>
      <c r="B5" s="368" t="n"/>
      <c r="C5" s="368" t="n"/>
      <c r="D5" s="368" t="n"/>
      <c r="E5" s="368" t="n"/>
      <c r="F5" s="368" t="n"/>
      <c r="G5" s="368" t="n"/>
      <c r="H5" s="368" t="n"/>
      <c r="I5" s="368" t="n"/>
      <c r="J5" s="368" t="n"/>
      <c r="K5" s="369" t="n"/>
    </row>
    <row r="6" ht="25.2" customHeight="1" thickBot="1">
      <c r="A6" s="370" t="inlineStr">
        <is>
          <t xml:space="preserve">  Valuation Report</t>
        </is>
      </c>
      <c r="K6" s="364" t="n"/>
    </row>
    <row r="7" ht="23.4" customFormat="1" customHeight="1" s="2" thickBot="1">
      <c r="A7" s="35" t="inlineStr">
        <is>
          <t>Section 1.</t>
        </is>
      </c>
      <c r="B7" s="73" t="inlineStr">
        <is>
          <t>INFORMATION SHARED DURING ASSIGNMENT OF VALUATION.</t>
        </is>
      </c>
      <c r="C7" s="368" t="n"/>
      <c r="D7" s="368" t="n"/>
      <c r="E7" s="368" t="n"/>
      <c r="F7" s="368" t="n"/>
      <c r="G7" s="368" t="n"/>
      <c r="H7" s="368" t="n"/>
      <c r="I7" s="368" t="n"/>
      <c r="J7" s="368" t="n"/>
      <c r="K7" s="371" t="n"/>
      <c r="L7" s="2" t="inlineStr">
        <is>
          <t>l</t>
        </is>
      </c>
    </row>
    <row r="8" ht="22.8" customHeight="1">
      <c r="A8" s="137" t="inlineStr">
        <is>
          <t>Date of Assign</t>
        </is>
      </c>
      <c r="B8" s="372" t="n"/>
      <c r="C8" s="373" t="n"/>
      <c r="D8" s="374" t="inlineStr">
        <is>
          <t>25-08-2026</t>
        </is>
      </c>
      <c r="E8" s="372" t="n"/>
      <c r="F8" s="373" t="n"/>
      <c r="G8" s="142" t="inlineStr">
        <is>
          <t>Property Title</t>
        </is>
      </c>
      <c r="H8" s="373" t="n"/>
      <c r="I8" s="375" t="inlineStr"/>
      <c r="J8" s="372" t="n"/>
      <c r="K8" s="376" t="n"/>
    </row>
    <row r="9" ht="22.8" customHeight="1">
      <c r="A9" s="48" t="inlineStr">
        <is>
          <t xml:space="preserve">Lead Purposal Number </t>
        </is>
      </c>
      <c r="B9" s="377" t="n"/>
      <c r="C9" s="378" t="n"/>
      <c r="D9" s="379" t="inlineStr"/>
      <c r="E9" s="372" t="n"/>
      <c r="F9" s="373" t="n"/>
      <c r="G9" s="106" t="inlineStr">
        <is>
          <t>Product</t>
        </is>
      </c>
      <c r="H9" s="378" t="n"/>
      <c r="I9" s="96" t="inlineStr"/>
      <c r="J9" s="377" t="n"/>
      <c r="K9" s="380" t="n"/>
    </row>
    <row r="10" ht="22.8" customHeight="1">
      <c r="A10" s="48" t="inlineStr">
        <is>
          <t>Name of Customer / Applicant</t>
        </is>
      </c>
      <c r="B10" s="377" t="n"/>
      <c r="C10" s="378" t="n"/>
      <c r="D10" s="381" t="inlineStr"/>
      <c r="E10" s="377" t="n"/>
      <c r="F10" s="377" t="n"/>
      <c r="G10" s="377" t="n"/>
      <c r="H10" s="377" t="n"/>
      <c r="I10" s="377" t="n"/>
      <c r="J10" s="377" t="n"/>
      <c r="K10" s="380" t="n"/>
    </row>
    <row r="11" ht="22.8" customHeight="1">
      <c r="A11" s="48" t="inlineStr">
        <is>
          <t>Ownership As per Doc's</t>
        </is>
      </c>
      <c r="B11" s="377" t="n"/>
      <c r="C11" s="378" t="n"/>
      <c r="D11" s="381" t="inlineStr"/>
      <c r="E11" s="377" t="n"/>
      <c r="F11" s="377" t="n"/>
      <c r="G11" s="377" t="n"/>
      <c r="H11" s="377" t="n"/>
      <c r="I11" s="377" t="n"/>
      <c r="J11" s="377" t="n"/>
      <c r="K11" s="380" t="n"/>
    </row>
    <row r="12" ht="22.8" customHeight="1">
      <c r="A12" s="48" t="inlineStr">
        <is>
          <t>Contact No. Of Customer</t>
        </is>
      </c>
      <c r="B12" s="377" t="n"/>
      <c r="C12" s="378" t="n"/>
      <c r="D12" s="91" t="inlineStr"/>
      <c r="E12" s="377" t="n"/>
      <c r="F12" s="378" t="n"/>
      <c r="G12" s="106" t="inlineStr">
        <is>
          <t>Purpose of Valuation</t>
        </is>
      </c>
      <c r="H12" s="378" t="n"/>
      <c r="I12" s="96" t="inlineStr">
        <is>
          <t>Fair Market Value</t>
        </is>
      </c>
      <c r="J12" s="377" t="n"/>
      <c r="K12" s="380" t="n"/>
    </row>
    <row r="13" ht="22.8" customHeight="1">
      <c r="A13" s="48" t="inlineStr">
        <is>
          <t>Lease Hold or Free Hold</t>
        </is>
      </c>
      <c r="B13" s="377" t="n"/>
      <c r="C13" s="378" t="n"/>
      <c r="D13" s="95" t="inlineStr"/>
      <c r="E13" s="377" t="n"/>
      <c r="F13" s="378" t="n"/>
      <c r="G13" s="106" t="inlineStr">
        <is>
          <t>Occupied Status</t>
        </is>
      </c>
      <c r="H13" s="378" t="n"/>
      <c r="I13" s="96" t="inlineStr"/>
      <c r="J13" s="377" t="n"/>
      <c r="K13" s="380" t="n"/>
    </row>
    <row r="14" ht="60" customHeight="1">
      <c r="A14" s="48" t="inlineStr">
        <is>
          <t>Documents Provided for Valuation</t>
        </is>
      </c>
      <c r="B14" s="377" t="n"/>
      <c r="C14" s="378" t="n"/>
      <c r="D14" s="382" t="inlineStr"/>
      <c r="E14" s="383" t="n"/>
      <c r="F14" s="384" t="n"/>
      <c r="G14" s="385" t="inlineStr">
        <is>
          <t>BRANCH</t>
        </is>
      </c>
      <c r="H14" s="384" t="n"/>
      <c r="I14" s="386" t="inlineStr"/>
      <c r="J14" s="383" t="n"/>
      <c r="K14" s="387" t="n"/>
    </row>
    <row r="15" ht="66" customHeight="1">
      <c r="A15" s="45" t="inlineStr">
        <is>
          <t>PROPERTY ADDRESS</t>
        </is>
      </c>
      <c r="B15" s="33" t="inlineStr">
        <is>
          <t>AS PER DOC'S</t>
        </is>
      </c>
      <c r="C15" s="47" t="inlineStr"/>
      <c r="D15" s="377" t="n"/>
      <c r="E15" s="377" t="n"/>
      <c r="F15" s="377" t="n"/>
      <c r="G15" s="377" t="n"/>
      <c r="H15" s="377" t="n"/>
      <c r="I15" s="377" t="n"/>
      <c r="J15" s="377" t="n"/>
      <c r="K15" s="378" t="n"/>
    </row>
    <row r="16" ht="48.75" customHeight="1" thickBot="1">
      <c r="A16" s="363" t="n"/>
      <c r="B16" s="34" t="inlineStr">
        <is>
          <t>AS PER ACTUAL</t>
        </is>
      </c>
      <c r="C16" s="47" t="inlineStr"/>
      <c r="D16" s="377" t="n"/>
      <c r="E16" s="377" t="n"/>
      <c r="F16" s="377" t="n"/>
      <c r="G16" s="377" t="n"/>
      <c r="H16" s="377" t="n"/>
      <c r="I16" s="377" t="n"/>
      <c r="J16" s="377" t="n"/>
      <c r="K16" s="378" t="n"/>
    </row>
    <row r="17" ht="23.4" customFormat="1" customHeight="1" s="2" thickBot="1">
      <c r="A17" s="35" t="inlineStr">
        <is>
          <t>Section 2.</t>
        </is>
      </c>
      <c r="B17" s="73" t="inlineStr">
        <is>
          <t>Locality Details</t>
        </is>
      </c>
      <c r="C17" s="368" t="n"/>
      <c r="D17" s="368" t="n"/>
      <c r="E17" s="368" t="n"/>
      <c r="F17" s="368" t="n"/>
      <c r="G17" s="368" t="n"/>
      <c r="H17" s="368" t="n"/>
      <c r="I17" s="368" t="n"/>
      <c r="J17" s="368" t="n"/>
      <c r="K17" s="371" t="n"/>
    </row>
    <row r="18" ht="22.8" customHeight="1">
      <c r="A18" s="137" t="inlineStr">
        <is>
          <t>Type of locality</t>
        </is>
      </c>
      <c r="B18" s="372" t="n"/>
      <c r="C18" s="372" t="n"/>
      <c r="D18" s="372" t="n"/>
      <c r="E18" s="373" t="n"/>
      <c r="F18" s="388" t="inlineStr"/>
      <c r="G18" s="372" t="n"/>
      <c r="H18" s="372" t="n"/>
      <c r="I18" s="372" t="n"/>
      <c r="J18" s="372" t="n"/>
      <c r="K18" s="376" t="n"/>
    </row>
    <row r="19" ht="46.5" customHeight="1">
      <c r="A19" s="389" t="inlineStr">
        <is>
          <t>Distance from of Branch *</t>
        </is>
      </c>
      <c r="B19" s="378" t="n"/>
      <c r="C19" s="106" t="inlineStr">
        <is>
          <t>Nearest Railway Station</t>
        </is>
      </c>
      <c r="D19" s="377" t="n"/>
      <c r="E19" s="378" t="n"/>
      <c r="F19" s="106" t="inlineStr">
        <is>
          <t>Nearest Bus Stand</t>
        </is>
      </c>
      <c r="G19" s="377" t="n"/>
      <c r="H19" s="378" t="n"/>
      <c r="I19" s="106" t="inlineStr">
        <is>
          <t>Nearest Hospital</t>
        </is>
      </c>
      <c r="J19" s="377" t="n"/>
      <c r="K19" s="378" t="n"/>
    </row>
    <row r="20" ht="15" customHeight="1">
      <c r="A20" s="90" t="inlineStr"/>
      <c r="B20" s="384" t="n"/>
      <c r="C20" s="91" t="inlineStr"/>
      <c r="D20" s="383" t="n"/>
      <c r="E20" s="384" t="n"/>
      <c r="F20" s="91" t="inlineStr"/>
      <c r="G20" s="383" t="n"/>
      <c r="H20" s="384" t="n"/>
      <c r="I20" s="91">
        <f>F20</f>
        <v/>
      </c>
      <c r="J20" s="383" t="n"/>
      <c r="K20" s="384" t="n"/>
    </row>
    <row r="21" ht="15" customHeight="1">
      <c r="A21" s="390" t="n"/>
      <c r="B21" s="373" t="n"/>
      <c r="C21" s="391" t="n"/>
      <c r="D21" s="372" t="n"/>
      <c r="E21" s="373" t="n"/>
      <c r="F21" s="391" t="n"/>
      <c r="G21" s="372" t="n"/>
      <c r="H21" s="373" t="n"/>
      <c r="I21" s="391" t="n"/>
      <c r="J21" s="372" t="n"/>
      <c r="K21" s="373" t="n"/>
    </row>
    <row r="22" ht="22.8" customHeight="1">
      <c r="A22" s="228" t="inlineStr">
        <is>
          <t>No. of houses/Mortgage Property /units (Approx) *</t>
        </is>
      </c>
      <c r="B22" s="377" t="n"/>
      <c r="C22" s="377" t="n"/>
      <c r="D22" s="377" t="n"/>
      <c r="E22" s="377" t="n"/>
      <c r="F22" s="378" t="n"/>
      <c r="G22" s="220" t="inlineStr"/>
      <c r="H22" s="377" t="n"/>
      <c r="I22" s="377" t="n"/>
      <c r="J22" s="377" t="n"/>
      <c r="K22" s="380" t="n"/>
    </row>
    <row r="23" ht="22.8" customHeight="1">
      <c r="A23" s="167" t="inlineStr">
        <is>
          <t>Total development in Surrounding  Mortgage Property (%) *</t>
        </is>
      </c>
      <c r="B23" s="377" t="n"/>
      <c r="C23" s="377" t="n"/>
      <c r="D23" s="377" t="n"/>
      <c r="E23" s="377" t="n"/>
      <c r="F23" s="378" t="n"/>
      <c r="G23" s="169" t="inlineStr"/>
      <c r="H23" s="377" t="n"/>
      <c r="I23" s="377" t="n"/>
      <c r="J23" s="377" t="n"/>
      <c r="K23" s="378" t="n"/>
    </row>
    <row r="24" ht="22.8" customHeight="1">
      <c r="A24" s="17" t="inlineStr">
        <is>
          <t>Type of  locality  (Lower Class/ Middle / Upper Middle)</t>
        </is>
      </c>
      <c r="B24" s="377" t="n"/>
      <c r="C24" s="377" t="n"/>
      <c r="D24" s="377" t="n"/>
      <c r="E24" s="377" t="n"/>
      <c r="F24" s="378" t="n"/>
      <c r="G24" s="66" t="inlineStr"/>
      <c r="H24" s="383" t="n"/>
      <c r="I24" s="383" t="n"/>
      <c r="J24" s="383" t="n"/>
      <c r="K24" s="387" t="n"/>
    </row>
    <row r="25">
      <c r="A25" s="262" t="inlineStr">
        <is>
          <t>Any Negative to the Locality(Crematoriums,Slums ,riot prone, gases, chemical hazards,Mining site ,Waste dump sites,High Tension line etc.)</t>
        </is>
      </c>
      <c r="B25" s="383" t="n"/>
      <c r="C25" s="383" t="n"/>
      <c r="D25" s="383" t="n"/>
      <c r="E25" s="383" t="n"/>
      <c r="F25" s="384" t="n"/>
      <c r="G25" s="392" t="inlineStr"/>
      <c r="H25" s="383" t="n"/>
      <c r="I25" s="383" t="n"/>
      <c r="J25" s="383" t="n"/>
      <c r="K25" s="387" t="n"/>
    </row>
    <row r="26" ht="60" customHeight="1">
      <c r="A26" s="390" t="n"/>
      <c r="B26" s="372" t="n"/>
      <c r="C26" s="372" t="n"/>
      <c r="D26" s="372" t="n"/>
      <c r="E26" s="372" t="n"/>
      <c r="F26" s="373" t="n"/>
      <c r="G26" s="393" t="n"/>
      <c r="K26" s="364" t="n"/>
    </row>
    <row r="27" ht="42" customHeight="1">
      <c r="A27" s="102" t="inlineStr">
        <is>
          <t>Distance from of Branch</t>
        </is>
      </c>
      <c r="B27" s="378" t="n"/>
      <c r="C27" s="106" t="inlineStr">
        <is>
          <t>SUB REGISTRAR OFFICE</t>
        </is>
      </c>
      <c r="D27" s="377" t="n"/>
      <c r="E27" s="378" t="n"/>
      <c r="F27" s="106" t="inlineStr">
        <is>
          <t>DLC RATE</t>
        </is>
      </c>
      <c r="G27" s="378" t="n"/>
      <c r="H27" s="107" t="inlineStr">
        <is>
          <t xml:space="preserve">Location Name </t>
        </is>
      </c>
      <c r="I27" s="377" t="n"/>
      <c r="J27" s="377" t="n"/>
      <c r="K27" s="380" t="n"/>
    </row>
    <row r="28" ht="22.8" customHeight="1">
      <c r="A28" s="394">
        <f>A20</f>
        <v/>
      </c>
      <c r="B28" s="380" t="n"/>
      <c r="C28" s="90" t="inlineStr"/>
      <c r="D28" s="377" t="n"/>
      <c r="E28" s="378" t="n"/>
      <c r="F28" s="395" t="inlineStr"/>
      <c r="G28" s="378" t="n"/>
      <c r="H28" s="396" t="inlineStr"/>
      <c r="I28" s="377" t="n"/>
      <c r="J28" s="377" t="n"/>
      <c r="K28" s="380" t="n"/>
    </row>
    <row r="29" ht="22.8" customHeight="1">
      <c r="A29" s="102" t="inlineStr">
        <is>
          <t>Seismic Zone</t>
        </is>
      </c>
      <c r="B29" s="378" t="n"/>
      <c r="C29" s="103" t="inlineStr">
        <is>
          <t>Cyclone Zone</t>
        </is>
      </c>
      <c r="D29" s="377" t="n"/>
      <c r="E29" s="378" t="n"/>
      <c r="F29" s="103" t="inlineStr">
        <is>
          <t>Flood Zone</t>
        </is>
      </c>
      <c r="G29" s="377" t="n"/>
      <c r="H29" s="377" t="n"/>
      <c r="I29" s="378" t="n"/>
      <c r="J29" s="106" t="inlineStr">
        <is>
          <t>Landslide Zone</t>
        </is>
      </c>
      <c r="K29" s="378" t="n"/>
    </row>
    <row r="30" ht="22.8" customHeight="1">
      <c r="A30" s="90" t="inlineStr">
        <is>
          <t>II</t>
        </is>
      </c>
      <c r="B30" s="378" t="n"/>
      <c r="C30" s="91" t="inlineStr">
        <is>
          <t>No</t>
        </is>
      </c>
      <c r="D30" s="377" t="n"/>
      <c r="E30" s="378" t="n"/>
      <c r="F30" s="91" t="inlineStr">
        <is>
          <t>No</t>
        </is>
      </c>
      <c r="G30" s="377" t="n"/>
      <c r="H30" s="377" t="n"/>
      <c r="I30" s="378" t="n"/>
      <c r="J30" s="95" t="inlineStr">
        <is>
          <t>No</t>
        </is>
      </c>
      <c r="K30" s="378" t="n"/>
    </row>
    <row r="31" ht="22.8" customHeight="1">
      <c r="A31" s="48" t="inlineStr">
        <is>
          <t>Condition of Approach Road</t>
        </is>
      </c>
      <c r="B31" s="377" t="n"/>
      <c r="C31" s="377" t="n"/>
      <c r="D31" s="377" t="n"/>
      <c r="E31" s="378" t="n"/>
      <c r="F31" s="220" t="inlineStr"/>
      <c r="G31" s="377" t="n"/>
      <c r="H31" s="377" t="n"/>
      <c r="I31" s="377" t="n"/>
      <c r="J31" s="377" t="n"/>
      <c r="K31" s="380" t="n"/>
    </row>
    <row r="32" ht="22.8" customHeight="1">
      <c r="A32" s="48" t="inlineStr">
        <is>
          <t>Near by Landmark</t>
        </is>
      </c>
      <c r="B32" s="377" t="n"/>
      <c r="C32" s="377" t="n"/>
      <c r="D32" s="377" t="n"/>
      <c r="E32" s="378" t="n"/>
      <c r="F32" s="220" t="inlineStr"/>
      <c r="G32" s="377" t="n"/>
      <c r="H32" s="377" t="n"/>
      <c r="I32" s="377" t="n"/>
      <c r="J32" s="377" t="n"/>
      <c r="K32" s="380" t="n"/>
    </row>
    <row r="33">
      <c r="A33" s="266" t="inlineStr">
        <is>
          <t>Whether basic amenities like water, electricity, road, sewerage, telephone are available ?</t>
        </is>
      </c>
      <c r="B33" s="383" t="n"/>
      <c r="C33" s="383" t="n"/>
      <c r="D33" s="383" t="n"/>
      <c r="E33" s="384" t="n"/>
      <c r="F33" s="397" t="inlineStr"/>
      <c r="G33" s="383" t="n"/>
      <c r="H33" s="383" t="n"/>
      <c r="I33" s="383" t="n"/>
      <c r="J33" s="383" t="n"/>
      <c r="K33" s="387" t="n"/>
    </row>
    <row r="34" ht="61.5" customHeight="1" thickBot="1">
      <c r="A34" s="363" t="n"/>
      <c r="E34" s="398" t="n"/>
      <c r="F34" s="393" t="n"/>
      <c r="K34" s="364" t="n"/>
    </row>
    <row r="35" ht="23.4" customFormat="1" customHeight="1" s="2" thickBot="1">
      <c r="A35" s="35" t="inlineStr">
        <is>
          <t>Section 3.</t>
        </is>
      </c>
      <c r="B35" s="73" t="inlineStr">
        <is>
          <t>Property Details</t>
        </is>
      </c>
      <c r="C35" s="368" t="n"/>
      <c r="D35" s="368" t="n"/>
      <c r="E35" s="368" t="n"/>
      <c r="F35" s="368" t="n"/>
      <c r="G35" s="368" t="n"/>
      <c r="H35" s="368" t="n"/>
      <c r="I35" s="368" t="n"/>
      <c r="J35" s="368" t="n"/>
      <c r="K35" s="371" t="n"/>
    </row>
    <row r="36" ht="45.6" customHeight="1">
      <c r="A36" s="399" t="inlineStr">
        <is>
          <t xml:space="preserve">Area of land </t>
        </is>
      </c>
      <c r="B36" s="400" t="n"/>
      <c r="C36" s="78" t="inlineStr">
        <is>
          <t>Area of Land                                                                                                  (In sq.mtr)</t>
        </is>
      </c>
      <c r="D36" s="373" t="n"/>
      <c r="E36" s="78" t="inlineStr">
        <is>
          <t>Area of Land                                                                                                             ( In sq. yds)</t>
        </is>
      </c>
      <c r="F36" s="373" t="n"/>
      <c r="G36" s="78" t="inlineStr">
        <is>
          <t>Area of Land                                                                                                           ( In sq. ft.)</t>
        </is>
      </c>
      <c r="H36" s="373" t="n"/>
      <c r="I36" s="78" t="inlineStr">
        <is>
          <t>Plinth area of Structure                                                                            (in sq. ft.)</t>
        </is>
      </c>
      <c r="J36" s="373" t="n"/>
      <c r="K36" s="36" t="inlineStr">
        <is>
          <t>Built up area of Structure                                                                   (in sq. ft.)</t>
        </is>
      </c>
    </row>
    <row r="37" ht="22.8" customHeight="1">
      <c r="A37" s="390" t="n"/>
      <c r="B37" s="373" t="n"/>
      <c r="C37" s="211">
        <f>G37/10.76</f>
        <v/>
      </c>
      <c r="D37" s="378" t="n"/>
      <c r="E37" s="211">
        <f>G37/9</f>
        <v/>
      </c>
      <c r="F37" s="378" t="n"/>
      <c r="G37" s="211" t="inlineStr"/>
      <c r="H37" s="378" t="n"/>
      <c r="I37" s="211" t="inlineStr"/>
      <c r="J37" s="378" t="n"/>
      <c r="K37" s="3" t="inlineStr"/>
    </row>
    <row r="38" ht="22.8" customHeight="1">
      <c r="A38" s="401" t="inlineStr">
        <is>
          <t>As per Site</t>
        </is>
      </c>
      <c r="B38" s="378" t="n"/>
      <c r="C38" s="211">
        <f>G38/10.76</f>
        <v/>
      </c>
      <c r="D38" s="378" t="n"/>
      <c r="E38" s="211">
        <f>G38/9</f>
        <v/>
      </c>
      <c r="F38" s="378" t="n"/>
      <c r="G38" s="211" t="inlineStr"/>
      <c r="H38" s="378" t="n"/>
      <c r="I38" s="211">
        <f>I37</f>
        <v/>
      </c>
      <c r="J38" s="378" t="n"/>
      <c r="K38" s="3">
        <f>K37</f>
        <v/>
      </c>
    </row>
    <row r="39" ht="22.8" customHeight="1">
      <c r="A39" s="401" t="inlineStr">
        <is>
          <t xml:space="preserve">Considered Area </t>
        </is>
      </c>
      <c r="B39" s="378" t="n"/>
      <c r="C39" s="211">
        <f>G39/10.76</f>
        <v/>
      </c>
      <c r="D39" s="378" t="n"/>
      <c r="E39" s="211">
        <f>G39/9</f>
        <v/>
      </c>
      <c r="F39" s="378" t="n"/>
      <c r="G39" s="211" t="inlineStr"/>
      <c r="H39" s="378" t="n"/>
      <c r="I39" s="211" t="n"/>
      <c r="J39" s="378" t="n"/>
      <c r="K39" s="3" t="n"/>
    </row>
    <row r="40" ht="22.8" customHeight="1">
      <c r="A40" s="83" t="n"/>
      <c r="B40" s="377" t="n"/>
      <c r="C40" s="378" t="n"/>
      <c r="D40" s="5" t="inlineStr">
        <is>
          <t>BASEMENT</t>
        </is>
      </c>
      <c r="E40" s="378" t="n"/>
      <c r="F40" s="213" t="inlineStr">
        <is>
          <t>GF</t>
        </is>
      </c>
      <c r="G40" s="4" t="inlineStr">
        <is>
          <t xml:space="preserve">FF </t>
        </is>
      </c>
      <c r="H40" s="5" t="inlineStr">
        <is>
          <t>SF</t>
        </is>
      </c>
      <c r="I40" s="214" t="inlineStr">
        <is>
          <t>T.F</t>
        </is>
      </c>
      <c r="J40" s="6" t="inlineStr">
        <is>
          <t>4th Floor</t>
        </is>
      </c>
      <c r="K40" s="7" t="inlineStr">
        <is>
          <t>Total</t>
        </is>
      </c>
    </row>
    <row r="41" ht="22.8" customHeight="1">
      <c r="A41" s="85" t="inlineStr">
        <is>
          <t xml:space="preserve">Actual Built up area of structure (sqr-ft) </t>
        </is>
      </c>
      <c r="B41" s="377" t="n"/>
      <c r="C41" s="378" t="n"/>
      <c r="D41" s="402" t="n">
        <v>0</v>
      </c>
      <c r="E41" s="378" t="n"/>
      <c r="F41" s="203">
        <f>K38</f>
        <v/>
      </c>
      <c r="G41" s="203" t="n">
        <v>0</v>
      </c>
      <c r="H41" s="203" t="n">
        <v>0</v>
      </c>
      <c r="I41" s="203" t="n">
        <v>0</v>
      </c>
      <c r="J41" s="8" t="n">
        <v>0</v>
      </c>
      <c r="K41" s="3">
        <f>F41+G41+H41</f>
        <v/>
      </c>
    </row>
    <row r="42" ht="22.8" customHeight="1">
      <c r="A42" s="85" t="inlineStr">
        <is>
          <t>Permissible Built up area of structure</t>
        </is>
      </c>
      <c r="B42" s="377" t="n"/>
      <c r="C42" s="378" t="n"/>
      <c r="D42" s="402" t="n">
        <v>0</v>
      </c>
      <c r="E42" s="378" t="n"/>
      <c r="F42" s="203">
        <f>F41</f>
        <v/>
      </c>
      <c r="G42" s="203" t="n">
        <v>0</v>
      </c>
      <c r="H42" s="203" t="n">
        <v>0</v>
      </c>
      <c r="I42" s="203" t="n">
        <v>0</v>
      </c>
      <c r="J42" s="8" t="n">
        <v>0</v>
      </c>
      <c r="K42" s="3">
        <f>F42+G42+H42</f>
        <v/>
      </c>
    </row>
    <row r="43" ht="22.8" customHeight="1">
      <c r="A43" s="83" t="inlineStr">
        <is>
          <t>Total Built up area of Land in sqft.</t>
        </is>
      </c>
      <c r="B43" s="377" t="n"/>
      <c r="C43" s="377" t="n"/>
      <c r="D43" s="377" t="n"/>
      <c r="E43" s="377" t="n"/>
      <c r="F43" s="378" t="n"/>
      <c r="G43" s="403">
        <f>K41</f>
        <v/>
      </c>
      <c r="H43" s="377" t="n"/>
      <c r="I43" s="377" t="n"/>
      <c r="J43" s="377" t="n"/>
      <c r="K43" s="380" t="n"/>
    </row>
    <row r="44" ht="22.8" customHeight="1">
      <c r="A44" s="404" t="inlineStr">
        <is>
          <t>Total Permissible Built up area of Land in sqft.</t>
        </is>
      </c>
      <c r="B44" s="377" t="n"/>
      <c r="C44" s="377" t="n"/>
      <c r="D44" s="377" t="n"/>
      <c r="E44" s="377" t="n"/>
      <c r="F44" s="378" t="n"/>
      <c r="G44" s="403">
        <f>K42</f>
        <v/>
      </c>
      <c r="H44" s="377" t="n"/>
      <c r="I44" s="377" t="n"/>
      <c r="J44" s="377" t="n"/>
      <c r="K44" s="380" t="n"/>
    </row>
    <row r="45" ht="22.8" customHeight="1">
      <c r="A45" s="224" t="inlineStr">
        <is>
          <t>Usage ( Residential / Partly Commercial / Fully Commercial )</t>
        </is>
      </c>
      <c r="B45" s="377" t="n"/>
      <c r="C45" s="377" t="n"/>
      <c r="D45" s="377" t="n"/>
      <c r="E45" s="377" t="n"/>
      <c r="F45" s="378" t="n"/>
      <c r="G45" s="226" t="inlineStr"/>
      <c r="H45" s="377" t="n"/>
      <c r="I45" s="377" t="n"/>
      <c r="J45" s="377" t="n"/>
      <c r="K45" s="378" t="n"/>
    </row>
    <row r="46" ht="22.8" customHeight="1">
      <c r="A46" s="83" t="inlineStr">
        <is>
          <t>Ratio Of Each Type ( Residential / Commercial )</t>
        </is>
      </c>
      <c r="B46" s="377" t="n"/>
      <c r="C46" s="377" t="n"/>
      <c r="D46" s="377" t="n"/>
      <c r="E46" s="377" t="n"/>
      <c r="F46" s="378" t="n"/>
      <c r="G46" s="226" t="inlineStr">
        <is>
          <t xml:space="preserve">Residential 100% </t>
        </is>
      </c>
      <c r="H46" s="377" t="n"/>
      <c r="I46" s="377" t="n"/>
      <c r="J46" s="377" t="n"/>
      <c r="K46" s="378" t="n"/>
    </row>
    <row r="47" ht="22.8" customHeight="1">
      <c r="A47" s="83" t="inlineStr">
        <is>
          <t>Nature of Construction</t>
        </is>
      </c>
      <c r="B47" s="377" t="n"/>
      <c r="C47" s="377" t="n"/>
      <c r="D47" s="377" t="n"/>
      <c r="E47" s="377" t="n"/>
      <c r="F47" s="378" t="n"/>
      <c r="G47" s="226" t="inlineStr"/>
      <c r="H47" s="377" t="n"/>
      <c r="I47" s="377" t="n"/>
      <c r="J47" s="377" t="n"/>
      <c r="K47" s="378" t="n"/>
    </row>
    <row r="48" ht="22.8" customHeight="1">
      <c r="A48" s="83" t="inlineStr">
        <is>
          <t>Age of the Property</t>
        </is>
      </c>
      <c r="B48" s="377" t="n"/>
      <c r="C48" s="377" t="n"/>
      <c r="D48" s="377" t="n"/>
      <c r="E48" s="377" t="n"/>
      <c r="F48" s="378" t="n"/>
      <c r="G48" s="226" t="inlineStr"/>
      <c r="H48" s="219" t="inlineStr">
        <is>
          <t xml:space="preserve">Years  </t>
        </is>
      </c>
      <c r="I48" s="377" t="n"/>
      <c r="J48" s="377" t="n"/>
      <c r="K48" s="378" t="n"/>
    </row>
    <row r="49" ht="22.8" customHeight="1">
      <c r="A49" s="217" t="inlineStr">
        <is>
          <t>Residual Age</t>
        </is>
      </c>
      <c r="B49" s="377" t="n"/>
      <c r="C49" s="377" t="n"/>
      <c r="D49" s="377" t="n"/>
      <c r="E49" s="377" t="n"/>
      <c r="F49" s="378" t="n"/>
      <c r="G49" s="226">
        <f>60-G48</f>
        <v/>
      </c>
      <c r="H49" s="219" t="inlineStr">
        <is>
          <t xml:space="preserve">Years  </t>
        </is>
      </c>
      <c r="I49" s="377" t="n"/>
      <c r="J49" s="377" t="n"/>
      <c r="K49" s="378" t="n"/>
    </row>
    <row r="50" ht="22.8" customHeight="1">
      <c r="A50" s="217" t="inlineStr">
        <is>
          <t>Occupant  If occupied, Name of the Occupant</t>
        </is>
      </c>
      <c r="B50" s="377" t="n"/>
      <c r="C50" s="377" t="n"/>
      <c r="D50" s="377" t="n"/>
      <c r="E50" s="377" t="n"/>
      <c r="F50" s="378" t="n"/>
      <c r="G50" s="219" t="inlineStr"/>
      <c r="H50" s="377" t="n"/>
      <c r="I50" s="377" t="n"/>
      <c r="J50" s="377" t="n"/>
      <c r="K50" s="378" t="n"/>
    </row>
    <row r="51" ht="22.8" customHeight="1">
      <c r="A51" s="217" t="inlineStr">
        <is>
          <t>If rented, list of occupants &amp; Some part sale out</t>
        </is>
      </c>
      <c r="B51" s="377" t="n"/>
      <c r="C51" s="377" t="n"/>
      <c r="D51" s="377" t="n"/>
      <c r="E51" s="377" t="n"/>
      <c r="F51" s="378" t="n"/>
      <c r="G51" s="219" t="inlineStr">
        <is>
          <t>NO</t>
        </is>
      </c>
      <c r="H51" s="377" t="n"/>
      <c r="I51" s="377" t="n"/>
      <c r="J51" s="377" t="n"/>
      <c r="K51" s="378" t="n"/>
    </row>
    <row r="52" ht="22.8" customHeight="1">
      <c r="A52" s="48" t="inlineStr">
        <is>
          <t>Plot demarcated at site</t>
        </is>
      </c>
      <c r="B52" s="377" t="n"/>
      <c r="C52" s="377" t="n"/>
      <c r="D52" s="377" t="n"/>
      <c r="E52" s="377" t="n"/>
      <c r="F52" s="378" t="n"/>
      <c r="G52" s="219" t="inlineStr"/>
      <c r="H52" s="377" t="n"/>
      <c r="I52" s="377" t="n"/>
      <c r="J52" s="377" t="n"/>
      <c r="K52" s="378" t="n"/>
    </row>
    <row r="53" ht="45" customHeight="1">
      <c r="A53" s="228" t="inlineStr">
        <is>
          <t>Property Identified through *</t>
        </is>
      </c>
      <c r="B53" s="377" t="n"/>
      <c r="C53" s="377" t="n"/>
      <c r="D53" s="377" t="n"/>
      <c r="E53" s="377" t="n"/>
      <c r="F53" s="378" t="n"/>
      <c r="G53" s="49" t="inlineStr"/>
      <c r="H53" s="377" t="n"/>
      <c r="I53" s="377" t="n"/>
      <c r="J53" s="377" t="n"/>
      <c r="K53" s="378" t="n"/>
    </row>
    <row r="54" ht="22.8" customHeight="1">
      <c r="A54" s="405" t="inlineStr">
        <is>
          <t>Dimensions Details</t>
        </is>
      </c>
      <c r="B54" s="377" t="n"/>
      <c r="C54" s="377" t="n"/>
      <c r="D54" s="377" t="n"/>
      <c r="E54" s="377" t="n"/>
      <c r="F54" s="377" t="n"/>
      <c r="G54" s="377" t="n"/>
      <c r="H54" s="377" t="n"/>
      <c r="I54" s="377" t="n"/>
      <c r="J54" s="377" t="n"/>
      <c r="K54" s="380" t="n"/>
    </row>
    <row r="55" ht="22.8" customHeight="1">
      <c r="A55" s="48" t="inlineStr">
        <is>
          <t>Description</t>
        </is>
      </c>
      <c r="B55" s="377" t="n"/>
      <c r="C55" s="378" t="n"/>
      <c r="D55" s="106" t="inlineStr">
        <is>
          <t>EAST</t>
        </is>
      </c>
      <c r="E55" s="378" t="n"/>
      <c r="F55" s="106" t="inlineStr">
        <is>
          <t>WEST</t>
        </is>
      </c>
      <c r="G55" s="378" t="n"/>
      <c r="H55" s="106" t="inlineStr">
        <is>
          <t>NORTH</t>
        </is>
      </c>
      <c r="I55" s="378" t="n"/>
      <c r="J55" s="107" t="inlineStr">
        <is>
          <t>SOUTH</t>
        </is>
      </c>
      <c r="K55" s="380" t="n"/>
    </row>
    <row r="56" ht="22.8" customHeight="1">
      <c r="A56" s="254" t="inlineStr">
        <is>
          <t>As Per Document</t>
        </is>
      </c>
      <c r="B56" s="377" t="n"/>
      <c r="C56" s="378" t="n"/>
      <c r="D56" s="106" t="inlineStr"/>
      <c r="E56" s="377" t="n"/>
      <c r="F56" s="377" t="n"/>
      <c r="G56" s="377" t="n"/>
      <c r="H56" s="377" t="n"/>
      <c r="I56" s="377" t="n"/>
      <c r="J56" s="377" t="n"/>
      <c r="K56" s="378" t="n"/>
    </row>
    <row r="57" ht="22.8" customHeight="1">
      <c r="A57" s="254" t="inlineStr">
        <is>
          <t>Actual</t>
        </is>
      </c>
      <c r="B57" s="377" t="n"/>
      <c r="C57" s="378" t="n"/>
      <c r="D57" s="106" t="inlineStr"/>
      <c r="E57" s="378" t="n"/>
      <c r="F57" s="235" t="inlineStr"/>
      <c r="G57" s="378" t="n"/>
      <c r="H57" s="106" t="inlineStr"/>
      <c r="I57" s="378" t="n"/>
      <c r="J57" s="106" t="inlineStr"/>
      <c r="K57" s="378" t="n"/>
    </row>
    <row r="58" ht="22.8" customHeight="1">
      <c r="A58" s="405" t="inlineStr">
        <is>
          <t>Boundaries Details</t>
        </is>
      </c>
      <c r="B58" s="377" t="n"/>
      <c r="C58" s="377" t="n"/>
      <c r="D58" s="377" t="n"/>
      <c r="E58" s="377" t="n"/>
      <c r="F58" s="377" t="n"/>
      <c r="G58" s="377" t="n"/>
      <c r="H58" s="377" t="n"/>
      <c r="I58" s="377" t="n"/>
      <c r="J58" s="377" t="n"/>
      <c r="K58" s="380" t="n"/>
    </row>
    <row r="59" ht="22.8" customHeight="1">
      <c r="A59" s="48" t="inlineStr">
        <is>
          <t>Description</t>
        </is>
      </c>
      <c r="B59" s="377" t="n"/>
      <c r="C59" s="378" t="n"/>
      <c r="D59" s="106" t="inlineStr">
        <is>
          <t>EAST</t>
        </is>
      </c>
      <c r="E59" s="378" t="n"/>
      <c r="F59" s="106" t="inlineStr">
        <is>
          <t>WEST</t>
        </is>
      </c>
      <c r="G59" s="378" t="n"/>
      <c r="H59" s="106" t="inlineStr">
        <is>
          <t>NORTH</t>
        </is>
      </c>
      <c r="I59" s="378" t="n"/>
      <c r="J59" s="107" t="inlineStr">
        <is>
          <t>SOUTH</t>
        </is>
      </c>
      <c r="K59" s="380" t="n"/>
    </row>
    <row r="60" ht="69.75" customHeight="1">
      <c r="A60" s="254" t="inlineStr">
        <is>
          <t>As Per Document</t>
        </is>
      </c>
      <c r="B60" s="377" t="n"/>
      <c r="C60" s="378" t="n"/>
      <c r="D60" s="406" t="inlineStr"/>
      <c r="E60" s="378" t="n"/>
      <c r="F60" s="406" t="inlineStr"/>
      <c r="G60" s="378" t="n"/>
      <c r="H60" s="406" t="inlineStr"/>
      <c r="I60" s="378" t="n"/>
      <c r="J60" s="407" t="inlineStr"/>
      <c r="K60" s="380" t="n"/>
    </row>
    <row r="61" ht="71.25" customHeight="1">
      <c r="A61" s="254" t="inlineStr">
        <is>
          <t>Actual</t>
        </is>
      </c>
      <c r="B61" s="377" t="n"/>
      <c r="C61" s="378" t="n"/>
      <c r="D61" s="103" t="inlineStr"/>
      <c r="E61" s="378" t="n"/>
      <c r="F61" s="103" t="inlineStr"/>
      <c r="G61" s="378" t="n"/>
      <c r="H61" s="103" t="inlineStr"/>
      <c r="I61" s="378" t="n"/>
      <c r="J61" s="408" t="inlineStr"/>
      <c r="K61" s="380" t="n"/>
    </row>
    <row r="62" ht="48" customHeight="1">
      <c r="A62" s="262" t="inlineStr">
        <is>
          <t>Any other features like board of the financier indicating mortgage, notice of court/any authority which may effect the security</t>
        </is>
      </c>
      <c r="B62" s="377" t="n"/>
      <c r="C62" s="377" t="n"/>
      <c r="D62" s="377" t="n"/>
      <c r="E62" s="377" t="n"/>
      <c r="F62" s="378" t="n"/>
      <c r="G62" s="219" t="inlineStr"/>
      <c r="H62" s="377" t="n"/>
      <c r="I62" s="377" t="n"/>
      <c r="J62" s="377" t="n"/>
      <c r="K62" s="378" t="n"/>
    </row>
    <row r="63" ht="22.8" customHeight="1">
      <c r="A63" s="217" t="inlineStr">
        <is>
          <t>Marketability of the Property ( Excellent/Good/Average/Poor)</t>
        </is>
      </c>
      <c r="B63" s="377" t="n"/>
      <c r="C63" s="377" t="n"/>
      <c r="D63" s="377" t="n"/>
      <c r="E63" s="377" t="n"/>
      <c r="F63" s="378" t="n"/>
      <c r="G63" s="219" t="inlineStr"/>
      <c r="H63" s="377" t="n"/>
      <c r="I63" s="377" t="n"/>
      <c r="J63" s="377" t="n"/>
      <c r="K63" s="378" t="n"/>
    </row>
    <row r="64" ht="22.8" customHeight="1">
      <c r="A64" s="48" t="inlineStr">
        <is>
          <t>Stage of Construction</t>
        </is>
      </c>
      <c r="B64" s="377" t="n"/>
      <c r="C64" s="378" t="n"/>
      <c r="D64" s="39">
        <f>J64</f>
        <v/>
      </c>
      <c r="E64" s="219" t="inlineStr">
        <is>
          <t>% of work completed at last visit</t>
        </is>
      </c>
      <c r="F64" s="377" t="n"/>
      <c r="G64" s="377" t="n"/>
      <c r="H64" s="377" t="n"/>
      <c r="I64" s="378" t="n"/>
      <c r="J64" s="251" t="inlineStr"/>
      <c r="K64" s="378" t="n"/>
    </row>
    <row r="65" ht="23.4" customHeight="1" thickBot="1">
      <c r="A65" s="238" t="inlineStr">
        <is>
          <t>Last Visit Date</t>
        </is>
      </c>
      <c r="B65" s="383" t="n"/>
      <c r="C65" s="384" t="n"/>
      <c r="D65" s="37">
        <f>D8</f>
        <v/>
      </c>
      <c r="E65" s="256" t="inlineStr">
        <is>
          <t>% of work completed at on date</t>
        </is>
      </c>
      <c r="F65" s="383" t="n"/>
      <c r="G65" s="383" t="n"/>
      <c r="H65" s="383" t="n"/>
      <c r="I65" s="384" t="n"/>
      <c r="J65" s="409" t="inlineStr"/>
      <c r="K65" s="387" t="n"/>
    </row>
    <row r="66" ht="23.4" customFormat="1" customHeight="1" s="2" thickBot="1">
      <c r="A66" s="38" t="inlineStr">
        <is>
          <t>Section 4.</t>
        </is>
      </c>
      <c r="B66" s="73" t="inlineStr">
        <is>
          <t>Specification &amp; Maintenance</t>
        </is>
      </c>
      <c r="C66" s="368" t="n"/>
      <c r="D66" s="368" t="n"/>
      <c r="E66" s="368" t="n"/>
      <c r="F66" s="368" t="n"/>
      <c r="G66" s="368" t="n"/>
      <c r="H66" s="368" t="n"/>
      <c r="I66" s="368" t="n"/>
      <c r="J66" s="368" t="n"/>
      <c r="K66" s="371" t="n"/>
    </row>
    <row r="67" ht="22.8" customHeight="1">
      <c r="A67" s="242" t="inlineStr">
        <is>
          <t>Foundation / Roof /  Flooring</t>
        </is>
      </c>
      <c r="B67" s="372" t="n"/>
      <c r="C67" s="372" t="n"/>
      <c r="D67" s="372" t="n"/>
      <c r="E67" s="373" t="n"/>
      <c r="F67" s="410" t="inlineStr">
        <is>
          <t xml:space="preserve">Stone Found /RCC /  CC Flooring </t>
        </is>
      </c>
      <c r="G67" s="372" t="n"/>
      <c r="H67" s="372" t="n"/>
      <c r="I67" s="372" t="n"/>
      <c r="J67" s="372" t="n"/>
      <c r="K67" s="376" t="n"/>
    </row>
    <row r="68" ht="22.8" customHeight="1">
      <c r="A68" s="254" t="inlineStr">
        <is>
          <t>Quailty of Construction (Exterior &amp; Interior)</t>
        </is>
      </c>
      <c r="B68" s="377" t="n"/>
      <c r="C68" s="377" t="n"/>
      <c r="D68" s="377" t="n"/>
      <c r="E68" s="378" t="n"/>
      <c r="F68" s="411" t="inlineStr"/>
      <c r="G68" s="377" t="n"/>
      <c r="H68" s="377" t="n"/>
      <c r="I68" s="377" t="n"/>
      <c r="J68" s="377" t="n"/>
      <c r="K68" s="380" t="n"/>
    </row>
    <row r="69" ht="23.4" customHeight="1" thickBot="1">
      <c r="A69" s="255" t="inlineStr">
        <is>
          <t>Maintenance Levels</t>
        </is>
      </c>
      <c r="B69" s="383" t="n"/>
      <c r="C69" s="383" t="n"/>
      <c r="D69" s="383" t="n"/>
      <c r="E69" s="384" t="n"/>
      <c r="F69" s="397" t="inlineStr">
        <is>
          <t>N/A</t>
        </is>
      </c>
      <c r="G69" s="383" t="n"/>
      <c r="H69" s="383" t="n"/>
      <c r="I69" s="383" t="n"/>
      <c r="J69" s="383" t="n"/>
      <c r="K69" s="387" t="n"/>
    </row>
    <row r="70" ht="23.4" customFormat="1" customHeight="1" s="2" thickBot="1">
      <c r="A70" s="35" t="inlineStr">
        <is>
          <t>Section 5.</t>
        </is>
      </c>
      <c r="B70" s="73" t="inlineStr">
        <is>
          <t>Local Authority Compliance &amp; Safety Aspects</t>
        </is>
      </c>
      <c r="C70" s="368" t="n"/>
      <c r="D70" s="368" t="n"/>
      <c r="E70" s="368" t="n"/>
      <c r="F70" s="368" t="n"/>
      <c r="G70" s="368" t="n"/>
      <c r="H70" s="368" t="n"/>
      <c r="I70" s="368" t="n"/>
      <c r="J70" s="368" t="n"/>
      <c r="K70" s="371" t="n"/>
    </row>
    <row r="71" ht="22.8" customHeight="1">
      <c r="A71" s="412" t="inlineStr">
        <is>
          <t>Setbacks (As per Government by Laws)</t>
        </is>
      </c>
      <c r="B71" s="372" t="n"/>
      <c r="C71" s="372" t="n"/>
      <c r="D71" s="372" t="n"/>
      <c r="E71" s="373" t="n"/>
      <c r="F71" s="10" t="inlineStr">
        <is>
          <t>Actual Setbacks</t>
        </is>
      </c>
      <c r="G71" s="372" t="n"/>
      <c r="H71" s="372" t="n"/>
      <c r="I71" s="372" t="n"/>
      <c r="J71" s="372" t="n"/>
      <c r="K71" s="376" t="n"/>
    </row>
    <row r="72" ht="22.8" customHeight="1">
      <c r="A72" s="281" t="inlineStr">
        <is>
          <t>FRONT</t>
        </is>
      </c>
      <c r="B72" s="378" t="n"/>
      <c r="C72" s="106" t="inlineStr">
        <is>
          <t>BACK</t>
        </is>
      </c>
      <c r="D72" s="106" t="inlineStr">
        <is>
          <t>SIDE</t>
        </is>
      </c>
      <c r="E72" s="106" t="inlineStr">
        <is>
          <t>SIDE</t>
        </is>
      </c>
      <c r="F72" s="106" t="inlineStr">
        <is>
          <t>FRONT</t>
        </is>
      </c>
      <c r="G72" s="378" t="n"/>
      <c r="H72" s="106" t="inlineStr">
        <is>
          <t>BACK</t>
        </is>
      </c>
      <c r="I72" s="378" t="n"/>
      <c r="J72" s="142" t="inlineStr">
        <is>
          <t>SIDE</t>
        </is>
      </c>
      <c r="K72" s="10" t="inlineStr">
        <is>
          <t>SIDE</t>
        </is>
      </c>
    </row>
    <row r="73" ht="22.8" customHeight="1">
      <c r="A73" s="253" t="n">
        <v>0</v>
      </c>
      <c r="B73" s="378" t="n"/>
      <c r="C73" s="95" t="n">
        <v>0</v>
      </c>
      <c r="D73" s="95" t="n">
        <v>0</v>
      </c>
      <c r="E73" s="95" t="n">
        <v>0</v>
      </c>
      <c r="F73" s="95" t="n">
        <v>0</v>
      </c>
      <c r="G73" s="378" t="n"/>
      <c r="H73" s="95" t="n">
        <v>0</v>
      </c>
      <c r="I73" s="378" t="n"/>
      <c r="J73" s="95" t="n">
        <v>0</v>
      </c>
      <c r="K73" s="96" t="n">
        <v>0</v>
      </c>
    </row>
    <row r="74" ht="22.8" customHeight="1">
      <c r="A74" s="48" t="inlineStr">
        <is>
          <t>Type of Structure</t>
        </is>
      </c>
      <c r="B74" s="377" t="n"/>
      <c r="C74" s="377" t="n"/>
      <c r="D74" s="377" t="n"/>
      <c r="E74" s="377" t="n"/>
      <c r="F74" s="378" t="n"/>
      <c r="G74" s="251" t="inlineStr"/>
      <c r="H74" s="377" t="n"/>
      <c r="I74" s="377" t="n"/>
      <c r="J74" s="377" t="n"/>
      <c r="K74" s="378" t="n"/>
    </row>
    <row r="75" ht="22.8" customHeight="1">
      <c r="A75" s="48" t="inlineStr">
        <is>
          <t>No. Of Floors (Permissible &amp; Actual)</t>
        </is>
      </c>
      <c r="B75" s="377" t="n"/>
      <c r="C75" s="377" t="n"/>
      <c r="D75" s="377" t="n"/>
      <c r="E75" s="377" t="n"/>
      <c r="F75" s="378" t="n"/>
      <c r="G75" s="95" t="inlineStr"/>
      <c r="H75" s="377" t="n"/>
      <c r="I75" s="377" t="n"/>
      <c r="J75" s="377" t="n"/>
      <c r="K75" s="378" t="n"/>
    </row>
    <row r="76" ht="22.8" customHeight="1">
      <c r="A76" s="48" t="inlineStr">
        <is>
          <t>No. of Wings</t>
        </is>
      </c>
      <c r="B76" s="377" t="n"/>
      <c r="C76" s="377" t="n"/>
      <c r="D76" s="377" t="n"/>
      <c r="E76" s="377" t="n"/>
      <c r="F76" s="378" t="n"/>
      <c r="G76" s="95" t="inlineStr">
        <is>
          <t>N/A</t>
        </is>
      </c>
      <c r="H76" s="377" t="n"/>
      <c r="I76" s="377" t="n"/>
      <c r="J76" s="377" t="n"/>
      <c r="K76" s="378" t="n"/>
    </row>
    <row r="77" ht="22.8" customHeight="1">
      <c r="A77" s="48" t="inlineStr">
        <is>
          <t>No. of Flat on each Floor</t>
        </is>
      </c>
      <c r="B77" s="377" t="n"/>
      <c r="C77" s="377" t="n"/>
      <c r="D77" s="377" t="n"/>
      <c r="E77" s="377" t="n"/>
      <c r="F77" s="378" t="n"/>
      <c r="G77" s="95" t="inlineStr">
        <is>
          <t xml:space="preserve">100% Residential </t>
        </is>
      </c>
      <c r="H77" s="377" t="n"/>
      <c r="I77" s="377" t="n"/>
      <c r="J77" s="377" t="n"/>
      <c r="K77" s="378" t="n"/>
    </row>
    <row r="78" ht="22.8" customHeight="1">
      <c r="A78" s="48" t="inlineStr">
        <is>
          <t>Internal composition of the property</t>
        </is>
      </c>
      <c r="B78" s="377" t="n"/>
      <c r="C78" s="377" t="n"/>
      <c r="D78" s="377" t="n"/>
      <c r="E78" s="377" t="n"/>
      <c r="F78" s="378" t="n"/>
      <c r="G78" s="95" t="inlineStr"/>
      <c r="H78" s="377" t="n"/>
      <c r="I78" s="377" t="n"/>
      <c r="J78" s="377" t="n"/>
      <c r="K78" s="378" t="n"/>
    </row>
    <row r="79" ht="22.8" customHeight="1">
      <c r="A79" s="48" t="inlineStr">
        <is>
          <t>No. of lifts in each wings</t>
        </is>
      </c>
      <c r="B79" s="377" t="n"/>
      <c r="C79" s="377" t="n"/>
      <c r="D79" s="377" t="n"/>
      <c r="E79" s="377" t="n"/>
      <c r="F79" s="378" t="n"/>
      <c r="G79" s="95" t="inlineStr">
        <is>
          <t>N/A</t>
        </is>
      </c>
      <c r="H79" s="377" t="n"/>
      <c r="I79" s="377" t="n"/>
      <c r="J79" s="377" t="n"/>
      <c r="K79" s="378" t="n"/>
    </row>
    <row r="80" ht="22.8" customHeight="1">
      <c r="A80" s="48" t="inlineStr">
        <is>
          <t>Construction as per approved sanctioned plans</t>
        </is>
      </c>
      <c r="B80" s="377" t="n"/>
      <c r="C80" s="377" t="n"/>
      <c r="D80" s="377" t="n"/>
      <c r="E80" s="377" t="n"/>
      <c r="F80" s="378" t="n"/>
      <c r="G80" s="95" t="inlineStr"/>
      <c r="H80" s="377" t="n"/>
      <c r="I80" s="377" t="n"/>
      <c r="J80" s="377" t="n"/>
      <c r="K80" s="378" t="n"/>
    </row>
    <row r="81" ht="22.8" customHeight="1">
      <c r="A81" s="262" t="inlineStr">
        <is>
          <t>Details of approved plan and plans with approval no and date</t>
        </is>
      </c>
      <c r="B81" s="377" t="n"/>
      <c r="C81" s="377" t="n"/>
      <c r="D81" s="377" t="n"/>
      <c r="E81" s="377" t="n"/>
      <c r="F81" s="378" t="n"/>
      <c r="G81" s="95" t="inlineStr"/>
      <c r="H81" s="377" t="n"/>
      <c r="I81" s="377" t="n"/>
      <c r="J81" s="377" t="n"/>
      <c r="K81" s="378" t="n"/>
    </row>
    <row r="82" ht="22.8" customHeight="1">
      <c r="A82" s="48" t="inlineStr">
        <is>
          <t>Construction permission number and date</t>
        </is>
      </c>
      <c r="B82" s="377" t="n"/>
      <c r="C82" s="377" t="n"/>
      <c r="D82" s="377" t="n"/>
      <c r="E82" s="377" t="n"/>
      <c r="F82" s="378" t="n"/>
      <c r="G82" s="95" t="inlineStr"/>
      <c r="H82" s="377" t="n"/>
      <c r="I82" s="377" t="n"/>
      <c r="J82" s="377" t="n"/>
      <c r="K82" s="378" t="n"/>
    </row>
    <row r="83" ht="22.8" customHeight="1">
      <c r="A83" s="262" t="inlineStr">
        <is>
          <t>Violation observed if any Or is there any risk of demolition in case of violation</t>
        </is>
      </c>
      <c r="B83" s="377" t="n"/>
      <c r="C83" s="377" t="n"/>
      <c r="D83" s="377" t="n"/>
      <c r="E83" s="377" t="n"/>
      <c r="F83" s="378" t="n"/>
      <c r="G83" s="95" t="inlineStr"/>
      <c r="H83" s="377" t="n"/>
      <c r="I83" s="377" t="n"/>
      <c r="J83" s="377" t="n"/>
      <c r="K83" s="378" t="n"/>
    </row>
    <row r="84" ht="22.8" customHeight="1">
      <c r="A84" s="262" t="inlineStr">
        <is>
          <t xml:space="preserve">Structure confirming to safety (load resistance) </t>
        </is>
      </c>
      <c r="B84" s="377" t="n"/>
      <c r="C84" s="377" t="n"/>
      <c r="D84" s="377" t="n"/>
      <c r="E84" s="377" t="n"/>
      <c r="F84" s="378" t="n"/>
      <c r="G84" s="95" t="inlineStr">
        <is>
          <t>N/A</t>
        </is>
      </c>
      <c r="H84" s="377" t="n"/>
      <c r="I84" s="377" t="n"/>
      <c r="J84" s="377" t="n"/>
      <c r="K84" s="378" t="n"/>
    </row>
    <row r="85" ht="22.8" customHeight="1">
      <c r="A85" s="262" t="inlineStr">
        <is>
          <t>If plans not available then is the structure confirming to the local practice</t>
        </is>
      </c>
      <c r="B85" s="377" t="n"/>
      <c r="C85" s="377" t="n"/>
      <c r="D85" s="377" t="n"/>
      <c r="E85" s="377" t="n"/>
      <c r="F85" s="378" t="n"/>
      <c r="G85" s="95" t="inlineStr">
        <is>
          <t>Yes</t>
        </is>
      </c>
      <c r="H85" s="377" t="n"/>
      <c r="I85" s="377" t="n"/>
      <c r="J85" s="377" t="n"/>
      <c r="K85" s="378" t="n"/>
    </row>
    <row r="86" ht="83.25" customHeight="1" thickBot="1">
      <c r="A86" s="266" t="inlineStr">
        <is>
          <t>As per visual inspections &amp; maintenance levels- Does the Structure raise any concern in event of earthquake, cyclones etc.</t>
        </is>
      </c>
      <c r="B86" s="383" t="n"/>
      <c r="C86" s="383" t="n"/>
      <c r="D86" s="383" t="n"/>
      <c r="E86" s="383" t="n"/>
      <c r="F86" s="384" t="n"/>
      <c r="G86" s="268" t="inlineStr">
        <is>
          <t>No</t>
        </is>
      </c>
      <c r="H86" s="383" t="n"/>
      <c r="I86" s="383" t="n"/>
      <c r="J86" s="383" t="n"/>
      <c r="K86" s="384" t="n"/>
    </row>
    <row r="87" ht="23.4" customFormat="1" customHeight="1" s="2" thickBot="1">
      <c r="A87" s="35" t="inlineStr">
        <is>
          <t>Section 6.</t>
        </is>
      </c>
      <c r="B87" s="73" t="inlineStr">
        <is>
          <t>Valuation</t>
        </is>
      </c>
      <c r="C87" s="368" t="n"/>
      <c r="D87" s="368" t="n"/>
      <c r="E87" s="368" t="n"/>
      <c r="F87" s="368" t="n"/>
      <c r="G87" s="368" t="n"/>
      <c r="H87" s="368" t="n"/>
      <c r="I87" s="368" t="n"/>
      <c r="J87" s="368" t="n"/>
      <c r="K87" s="371" t="n"/>
    </row>
    <row r="88" ht="22.8" customHeight="1">
      <c r="A88" s="413" t="inlineStr">
        <is>
          <t>VALUE AS PER GOVERNMENT</t>
        </is>
      </c>
      <c r="B88" s="372" t="n"/>
      <c r="C88" s="372" t="n"/>
      <c r="D88" s="372" t="n"/>
      <c r="E88" s="372" t="n"/>
      <c r="F88" s="372" t="n"/>
      <c r="G88" s="372" t="n"/>
      <c r="H88" s="372" t="n"/>
      <c r="I88" s="372" t="n"/>
      <c r="J88" s="372" t="n"/>
      <c r="K88" s="376" t="n"/>
    </row>
    <row r="89" ht="22.8" customHeight="1">
      <c r="A89" s="217" t="inlineStr">
        <is>
          <t>Particulars</t>
        </is>
      </c>
      <c r="B89" s="377" t="n"/>
      <c r="C89" s="378" t="n"/>
      <c r="D89" s="219" t="inlineStr">
        <is>
          <t>AREA</t>
        </is>
      </c>
      <c r="E89" s="219" t="inlineStr">
        <is>
          <t>RATE</t>
        </is>
      </c>
      <c r="F89" s="414" t="inlineStr">
        <is>
          <t>Particulars</t>
        </is>
      </c>
      <c r="G89" s="377" t="n"/>
      <c r="H89" s="378" t="n"/>
      <c r="I89" s="415" t="inlineStr">
        <is>
          <t>VALUE IN RS.</t>
        </is>
      </c>
      <c r="J89" s="377" t="n"/>
      <c r="K89" s="380" t="n"/>
    </row>
    <row r="90" ht="22.8" customHeight="1">
      <c r="A90" s="48" t="inlineStr">
        <is>
          <t>Cost of Land in SQ.Ft.</t>
        </is>
      </c>
      <c r="B90" s="377" t="n"/>
      <c r="C90" s="378" t="n"/>
      <c r="D90" s="11">
        <f>G39</f>
        <v/>
      </c>
      <c r="E90" s="12">
        <f>F28</f>
        <v/>
      </c>
      <c r="F90" s="50" t="inlineStr">
        <is>
          <t>DLC Value in Rs.</t>
        </is>
      </c>
      <c r="G90" s="377" t="n"/>
      <c r="H90" s="377" t="n"/>
      <c r="I90" s="265">
        <f>D90*E90</f>
        <v/>
      </c>
      <c r="J90" s="377" t="n"/>
      <c r="K90" s="380" t="n"/>
    </row>
    <row r="91" ht="22.8" customHeight="1">
      <c r="A91" s="48" t="inlineStr">
        <is>
          <t xml:space="preserve">Cost of Const. Of Basement </t>
        </is>
      </c>
      <c r="B91" s="377" t="n"/>
      <c r="C91" s="378" t="n"/>
      <c r="D91" s="11" t="n"/>
      <c r="E91" s="12" t="n"/>
      <c r="F91" s="50" t="inlineStr">
        <is>
          <t>Market Value in Rs.</t>
        </is>
      </c>
      <c r="G91" s="377" t="n"/>
      <c r="H91" s="377" t="n"/>
      <c r="I91" s="265">
        <f>E91*D91</f>
        <v/>
      </c>
      <c r="J91" s="377" t="n"/>
      <c r="K91" s="380" t="n"/>
    </row>
    <row r="92" ht="22.8" customHeight="1">
      <c r="A92" s="48" t="inlineStr">
        <is>
          <t xml:space="preserve">Cost of Const. Of G. F. </t>
        </is>
      </c>
      <c r="B92" s="377" t="n"/>
      <c r="C92" s="378" t="n"/>
      <c r="D92" s="11">
        <f>G44</f>
        <v/>
      </c>
      <c r="E92" s="12" t="inlineStr"/>
      <c r="F92" s="50" t="inlineStr">
        <is>
          <t>Market Value in Rs.</t>
        </is>
      </c>
      <c r="G92" s="377" t="n"/>
      <c r="H92" s="377" t="n"/>
      <c r="I92" s="265">
        <f>E92*D92</f>
        <v/>
      </c>
      <c r="J92" s="377" t="n"/>
      <c r="K92" s="380" t="n"/>
    </row>
    <row r="93" ht="22.8" customHeight="1">
      <c r="A93" s="48" t="inlineStr">
        <is>
          <t>Cost of Const. Of F.F.</t>
        </is>
      </c>
      <c r="B93" s="377" t="n"/>
      <c r="C93" s="378" t="n"/>
      <c r="D93" s="11" t="n">
        <v>0</v>
      </c>
      <c r="E93" s="12" t="n">
        <v>0</v>
      </c>
      <c r="F93" s="50" t="inlineStr">
        <is>
          <t>Market Value in Rs.</t>
        </is>
      </c>
      <c r="G93" s="377" t="n"/>
      <c r="H93" s="377" t="n"/>
      <c r="I93" s="265">
        <f>E93*D93</f>
        <v/>
      </c>
      <c r="J93" s="377" t="n"/>
      <c r="K93" s="380" t="n"/>
    </row>
    <row r="94" ht="22.8" customHeight="1">
      <c r="A94" s="48" t="inlineStr">
        <is>
          <t>Cost of Const. Of S.F.</t>
        </is>
      </c>
      <c r="B94" s="377" t="n"/>
      <c r="C94" s="378" t="n"/>
      <c r="D94" s="11" t="n"/>
      <c r="E94" s="12" t="n"/>
      <c r="F94" s="50" t="inlineStr">
        <is>
          <t>Market Value in Rs.</t>
        </is>
      </c>
      <c r="G94" s="377" t="n"/>
      <c r="H94" s="377" t="n"/>
      <c r="I94" s="265">
        <f>E94*D94</f>
        <v/>
      </c>
      <c r="J94" s="377" t="n"/>
      <c r="K94" s="380" t="n"/>
    </row>
    <row r="95" ht="22.8" customHeight="1">
      <c r="A95" s="48" t="inlineStr">
        <is>
          <t>Cost of Const. Of T.F.</t>
        </is>
      </c>
      <c r="B95" s="377" t="n"/>
      <c r="C95" s="378" t="n"/>
      <c r="D95" s="11" t="n"/>
      <c r="E95" s="12" t="n"/>
      <c r="F95" s="50" t="inlineStr">
        <is>
          <t>Market Value in Rs.</t>
        </is>
      </c>
      <c r="G95" s="377" t="n"/>
      <c r="H95" s="377" t="n"/>
      <c r="I95" s="265">
        <f>E95*D95</f>
        <v/>
      </c>
      <c r="J95" s="377" t="n"/>
      <c r="K95" s="380" t="n"/>
    </row>
    <row r="96" ht="22.8" customHeight="1">
      <c r="A96" s="48" t="inlineStr">
        <is>
          <t>Cost of Const. Of 4th Floor</t>
        </is>
      </c>
      <c r="B96" s="377" t="n"/>
      <c r="C96" s="378" t="n"/>
      <c r="D96" s="11" t="n"/>
      <c r="E96" s="12" t="n"/>
      <c r="F96" s="50" t="inlineStr">
        <is>
          <t>Market Value in Rs.</t>
        </is>
      </c>
      <c r="G96" s="377" t="n"/>
      <c r="H96" s="377" t="n"/>
      <c r="I96" s="265">
        <f>E96*D96</f>
        <v/>
      </c>
      <c r="J96" s="377" t="n"/>
      <c r="K96" s="380" t="n"/>
    </row>
    <row r="97" ht="23.4" customHeight="1">
      <c r="A97" s="48" t="inlineStr">
        <is>
          <t>Total Cost of Property</t>
        </is>
      </c>
      <c r="B97" s="377" t="n"/>
      <c r="C97" s="377" t="n"/>
      <c r="D97" s="377" t="n"/>
      <c r="E97" s="378" t="n"/>
      <c r="F97" s="272" t="n"/>
      <c r="G97" s="13" t="n"/>
      <c r="H97" s="13" t="n"/>
      <c r="I97" s="14" t="n"/>
      <c r="J97" s="14" t="n"/>
      <c r="K97" s="265">
        <f>I90+I91+I92+I93+I94+I95+I96</f>
        <v/>
      </c>
    </row>
    <row r="98" ht="22.8" customHeight="1">
      <c r="A98" s="48" t="n"/>
      <c r="B98" s="377" t="n"/>
      <c r="C98" s="377" t="n"/>
      <c r="D98" s="377" t="n"/>
      <c r="E98" s="378" t="n"/>
      <c r="F98" s="272" t="n"/>
      <c r="G98" s="273" t="n"/>
      <c r="H98" s="273" t="n"/>
      <c r="I98" s="264" t="n"/>
      <c r="J98" s="264" t="n"/>
      <c r="K98" s="265" t="n"/>
    </row>
    <row r="99" ht="22.8" customHeight="1">
      <c r="A99" s="281" t="inlineStr">
        <is>
          <t>MARKET VALUE</t>
        </is>
      </c>
      <c r="B99" s="377" t="n"/>
      <c r="C99" s="377" t="n"/>
      <c r="D99" s="377" t="n"/>
      <c r="E99" s="377" t="n"/>
      <c r="F99" s="377" t="n"/>
      <c r="G99" s="377" t="n"/>
      <c r="H99" s="377" t="n"/>
      <c r="I99" s="377" t="n"/>
      <c r="J99" s="377" t="n"/>
      <c r="K99" s="378" t="n"/>
    </row>
    <row r="100" ht="22.8" customHeight="1">
      <c r="A100" s="48" t="inlineStr">
        <is>
          <t>Particulars</t>
        </is>
      </c>
      <c r="B100" s="377" t="n"/>
      <c r="C100" s="378" t="n"/>
      <c r="D100" s="49" t="inlineStr">
        <is>
          <t>AREA</t>
        </is>
      </c>
      <c r="E100" s="49" t="inlineStr">
        <is>
          <t>RATE</t>
        </is>
      </c>
      <c r="F100" s="218" t="inlineStr">
        <is>
          <t>Particulars</t>
        </is>
      </c>
      <c r="G100" s="377" t="n"/>
      <c r="H100" s="378" t="n"/>
      <c r="I100" s="415" t="inlineStr">
        <is>
          <t>VALUE IN RS.</t>
        </is>
      </c>
      <c r="J100" s="377" t="n"/>
      <c r="K100" s="380" t="n"/>
    </row>
    <row r="101" ht="22.8" customHeight="1">
      <c r="A101" s="48" t="inlineStr">
        <is>
          <t>Cost of Land in SQ.Ft.</t>
        </is>
      </c>
      <c r="B101" s="377" t="n"/>
      <c r="C101" s="378" t="n"/>
      <c r="D101" s="11">
        <f>D90</f>
        <v/>
      </c>
      <c r="E101" s="12" t="inlineStr"/>
      <c r="F101" s="50" t="inlineStr">
        <is>
          <t>Market Rate</t>
        </is>
      </c>
      <c r="G101" s="377" t="n"/>
      <c r="H101" s="377" t="n"/>
      <c r="I101" s="280">
        <f>D101*E101</f>
        <v/>
      </c>
      <c r="J101" s="377" t="n"/>
      <c r="K101" s="380" t="n"/>
      <c r="L101" s="1" t="n">
        <v>300</v>
      </c>
    </row>
    <row r="102" ht="24" customHeight="1">
      <c r="A102" s="48" t="inlineStr">
        <is>
          <t xml:space="preserve">Cost of Const. Of Basement </t>
        </is>
      </c>
      <c r="B102" s="377" t="n"/>
      <c r="C102" s="378" t="n"/>
      <c r="D102" s="11" t="n"/>
      <c r="E102" s="12" t="n"/>
      <c r="F102" s="50" t="inlineStr">
        <is>
          <t>Market Value in Rs.</t>
        </is>
      </c>
      <c r="G102" s="377" t="n"/>
      <c r="H102" s="377" t="n"/>
      <c r="I102" s="280">
        <f>+E102*D102</f>
        <v/>
      </c>
      <c r="J102" s="377" t="n"/>
      <c r="K102" s="380" t="n"/>
    </row>
    <row r="103" ht="22.8" customHeight="1">
      <c r="A103" s="48" t="inlineStr">
        <is>
          <t xml:space="preserve">Cost of Const. Of G. F. </t>
        </is>
      </c>
      <c r="B103" s="377" t="n"/>
      <c r="C103" s="378" t="n"/>
      <c r="D103" s="11">
        <f>D92</f>
        <v/>
      </c>
      <c r="E103" s="12" t="inlineStr"/>
      <c r="F103" s="50" t="inlineStr">
        <is>
          <t>Market Value in Rs.</t>
        </is>
      </c>
      <c r="G103" s="377" t="n"/>
      <c r="H103" s="377" t="n"/>
      <c r="I103" s="280">
        <f>D103*E103</f>
        <v/>
      </c>
      <c r="J103" s="377" t="n"/>
      <c r="K103" s="380" t="n"/>
      <c r="L103" s="1" t="n">
        <v>800</v>
      </c>
    </row>
    <row r="104" ht="22.8" customHeight="1">
      <c r="A104" s="48" t="inlineStr">
        <is>
          <t>Cost of Const. Of F.F.</t>
        </is>
      </c>
      <c r="B104" s="377" t="n"/>
      <c r="C104" s="378" t="n"/>
      <c r="D104" s="11">
        <f>D93</f>
        <v/>
      </c>
      <c r="E104" s="12" t="n">
        <v>0</v>
      </c>
      <c r="F104" s="50" t="inlineStr">
        <is>
          <t>Market Value in Rs.</t>
        </is>
      </c>
      <c r="G104" s="377" t="n"/>
      <c r="H104" s="377" t="n"/>
      <c r="I104" s="280">
        <f>D104*E104</f>
        <v/>
      </c>
      <c r="J104" s="377" t="n"/>
      <c r="K104" s="380" t="n"/>
    </row>
    <row r="105" ht="22.8" customHeight="1">
      <c r="A105" s="48" t="inlineStr">
        <is>
          <t>Cost of Const. Of S.F.</t>
        </is>
      </c>
      <c r="B105" s="377" t="n"/>
      <c r="C105" s="378" t="n"/>
      <c r="D105" s="11" t="n"/>
      <c r="E105" s="12" t="n"/>
      <c r="F105" s="50" t="inlineStr">
        <is>
          <t>Market Value in Rs.</t>
        </is>
      </c>
      <c r="G105" s="377" t="n"/>
      <c r="H105" s="377" t="n"/>
      <c r="I105" s="280">
        <f>D105*E105</f>
        <v/>
      </c>
      <c r="J105" s="377" t="n"/>
      <c r="K105" s="380" t="n"/>
    </row>
    <row r="106" ht="22.8" customHeight="1">
      <c r="A106" s="48" t="inlineStr">
        <is>
          <t>Cost of Const. Of T.F.</t>
        </is>
      </c>
      <c r="B106" s="377" t="n"/>
      <c r="C106" s="378" t="n"/>
      <c r="D106" s="11" t="n"/>
      <c r="E106" s="12" t="n"/>
      <c r="F106" s="50" t="inlineStr">
        <is>
          <t>Market Value in Rs.</t>
        </is>
      </c>
      <c r="G106" s="377" t="n"/>
      <c r="H106" s="377" t="n"/>
      <c r="I106" s="280">
        <f>D106*E106</f>
        <v/>
      </c>
      <c r="J106" s="377" t="n"/>
      <c r="K106" s="380" t="n"/>
    </row>
    <row r="107" ht="22.8" customHeight="1">
      <c r="A107" s="48" t="inlineStr">
        <is>
          <t>Cost of Const. Of 4th Floor</t>
        </is>
      </c>
      <c r="B107" s="377" t="n"/>
      <c r="C107" s="378" t="n"/>
      <c r="D107" s="11" t="n"/>
      <c r="E107" s="12" t="n"/>
      <c r="F107" s="50" t="inlineStr">
        <is>
          <t>Market Value in Rs.</t>
        </is>
      </c>
      <c r="G107" s="377" t="n"/>
      <c r="H107" s="377" t="n"/>
      <c r="I107" s="280">
        <f>D107*E107</f>
        <v/>
      </c>
      <c r="J107" s="377" t="n"/>
      <c r="K107" s="380" t="n"/>
    </row>
    <row r="108" ht="22.8" customHeight="1">
      <c r="A108" s="48" t="inlineStr">
        <is>
          <t>Total Cost of Property</t>
        </is>
      </c>
      <c r="B108" s="377" t="n"/>
      <c r="C108" s="377" t="n"/>
      <c r="D108" s="378" t="n"/>
      <c r="E108" s="416">
        <f>I101+I102+I103+I104+I105+I106</f>
        <v/>
      </c>
      <c r="F108" s="377" t="n"/>
      <c r="G108" s="377" t="n"/>
      <c r="H108" s="377" t="n"/>
      <c r="I108" s="377" t="n"/>
      <c r="J108" s="377" t="n"/>
      <c r="K108" s="380" t="n"/>
    </row>
    <row r="109" ht="22.8" customHeight="1">
      <c r="A109" s="262" t="inlineStr">
        <is>
          <t>Conservative Value ( Sale within 90 Days)</t>
        </is>
      </c>
      <c r="B109" s="377" t="n"/>
      <c r="C109" s="377" t="n"/>
      <c r="D109" s="378" t="n"/>
      <c r="E109" s="417">
        <f>E108*80%</f>
        <v/>
      </c>
      <c r="F109" s="377" t="n"/>
      <c r="G109" s="377" t="n"/>
      <c r="H109" s="377" t="n"/>
      <c r="I109" s="377" t="n"/>
      <c r="J109" s="377" t="n"/>
      <c r="K109" s="380" t="n"/>
    </row>
    <row r="110" ht="22.8" customHeight="1">
      <c r="A110" s="262" t="inlineStr">
        <is>
          <t>QSV /Distress Value ( Sale within 60 Days)</t>
        </is>
      </c>
      <c r="B110" s="377" t="n"/>
      <c r="C110" s="377" t="n"/>
      <c r="D110" s="378" t="n"/>
      <c r="E110" s="417">
        <f>E108*70/100</f>
        <v/>
      </c>
      <c r="F110" s="377" t="n"/>
      <c r="G110" s="377" t="n"/>
      <c r="H110" s="377" t="n"/>
      <c r="I110" s="377" t="n"/>
      <c r="J110" s="377" t="n"/>
      <c r="K110" s="380" t="n"/>
    </row>
    <row r="111" ht="22.8" customHeight="1">
      <c r="A111" s="348" t="inlineStr">
        <is>
          <t xml:space="preserve">PRICE CONFIRM FROM               </t>
        </is>
      </c>
      <c r="B111" s="383" t="n"/>
      <c r="C111" s="49" t="inlineStr">
        <is>
          <t>Local Property Dealer/ Local Person Name</t>
        </is>
      </c>
      <c r="D111" s="377" t="n"/>
      <c r="E111" s="377" t="n"/>
      <c r="F111" s="377" t="n"/>
      <c r="G111" s="378" t="n"/>
      <c r="H111" s="106" t="inlineStr">
        <is>
          <t>-</t>
        </is>
      </c>
      <c r="I111" s="377" t="n"/>
      <c r="J111" s="377" t="n"/>
      <c r="K111" s="378" t="n"/>
    </row>
    <row r="112" ht="22.8" customHeight="1">
      <c r="A112" s="363" t="n"/>
      <c r="C112" s="49" t="inlineStr">
        <is>
          <t>Local Dealer No./ Local Dealer Shop Name</t>
        </is>
      </c>
      <c r="D112" s="377" t="n"/>
      <c r="E112" s="377" t="n"/>
      <c r="F112" s="377" t="n"/>
      <c r="G112" s="378" t="n"/>
      <c r="H112" s="106" t="inlineStr">
        <is>
          <t>-</t>
        </is>
      </c>
      <c r="I112" s="377" t="n"/>
      <c r="J112" s="377" t="n"/>
      <c r="K112" s="378" t="n"/>
    </row>
    <row r="113" ht="43.5" customHeight="1" thickBot="1">
      <c r="A113" s="363" t="n"/>
      <c r="C113" s="239" t="inlineStr">
        <is>
          <t>Value Rate According To Dealer</t>
        </is>
      </c>
      <c r="D113" s="383" t="n"/>
      <c r="E113" s="383" t="n"/>
      <c r="F113" s="383" t="n"/>
      <c r="G113" s="384" t="n"/>
      <c r="H113" s="418" t="inlineStr">
        <is>
          <t>-</t>
        </is>
      </c>
      <c r="I113" s="383" t="n"/>
      <c r="J113" s="383" t="n"/>
      <c r="K113" s="387" t="n"/>
    </row>
    <row r="114" ht="23.4" customFormat="1" customHeight="1" s="2" thickBot="1">
      <c r="A114" s="40" t="inlineStr">
        <is>
          <t>Section 7.</t>
        </is>
      </c>
      <c r="B114" s="73" t="inlineStr">
        <is>
          <t>REMARKS</t>
        </is>
      </c>
      <c r="C114" s="368" t="n"/>
      <c r="D114" s="368" t="n"/>
      <c r="E114" s="368" t="n"/>
      <c r="F114" s="368" t="n"/>
      <c r="G114" s="368" t="n"/>
      <c r="H114" s="368" t="n"/>
      <c r="I114" s="368" t="n"/>
      <c r="J114" s="368" t="n"/>
      <c r="K114" s="371" t="n"/>
    </row>
    <row r="115" ht="37.95" customHeight="1">
      <c r="A115" s="106" t="n">
        <v>1</v>
      </c>
      <c r="B115" s="411" t="inlineStr"/>
      <c r="C115" s="377" t="n"/>
      <c r="D115" s="377" t="n"/>
      <c r="E115" s="377" t="n"/>
      <c r="F115" s="377" t="n"/>
      <c r="G115" s="377" t="n"/>
      <c r="H115" s="377" t="n"/>
      <c r="I115" s="377" t="n"/>
      <c r="J115" s="377" t="n"/>
      <c r="K115" s="380" t="n"/>
    </row>
    <row r="116" ht="37.95" customHeight="1">
      <c r="A116" s="106" t="n">
        <v>2</v>
      </c>
      <c r="B116" s="411" t="inlineStr"/>
      <c r="C116" s="377" t="n"/>
      <c r="D116" s="377" t="n"/>
      <c r="E116" s="377" t="n"/>
      <c r="F116" s="377" t="n"/>
      <c r="G116" s="377" t="n"/>
      <c r="H116" s="377" t="n"/>
      <c r="I116" s="377" t="n"/>
      <c r="J116" s="377" t="n"/>
      <c r="K116" s="380" t="n"/>
    </row>
    <row r="117" ht="102.6" customHeight="1">
      <c r="A117" s="106" t="n">
        <v>3</v>
      </c>
      <c r="B117" s="42" t="inlineStr"/>
      <c r="C117" s="377" t="n"/>
      <c r="D117" s="377" t="n"/>
      <c r="E117" s="377" t="n"/>
      <c r="F117" s="377" t="n"/>
      <c r="G117" s="377" t="n"/>
      <c r="H117" s="355">
        <f>D11</f>
        <v/>
      </c>
      <c r="I117" s="377" t="n"/>
      <c r="J117" s="98" t="inlineStr">
        <is>
          <t xml:space="preserve"> for valuation purpose.</t>
        </is>
      </c>
      <c r="K117" s="380" t="n"/>
    </row>
    <row r="118" ht="82.2" customHeight="1">
      <c r="A118" s="106" t="n">
        <v>4</v>
      </c>
      <c r="B118" s="303" t="inlineStr"/>
      <c r="C118" s="377" t="n"/>
      <c r="D118" s="377" t="n"/>
      <c r="E118" s="377" t="n"/>
      <c r="F118" s="377" t="n"/>
      <c r="G118" s="377" t="n"/>
      <c r="H118" s="377" t="n"/>
      <c r="I118" s="377" t="n"/>
      <c r="J118" s="377" t="n"/>
      <c r="K118" s="380" t="n"/>
    </row>
    <row r="119" ht="43.8" customHeight="1">
      <c r="A119" s="106" t="n">
        <v>5</v>
      </c>
      <c r="B119" s="303" t="inlineStr"/>
      <c r="C119" s="377" t="n"/>
      <c r="D119" s="377" t="n"/>
      <c r="E119" s="377" t="n"/>
      <c r="F119" s="377" t="n"/>
      <c r="G119" s="377" t="n"/>
      <c r="H119" s="377" t="n"/>
      <c r="I119" s="377" t="n"/>
      <c r="J119" s="377" t="n"/>
      <c r="K119" s="380" t="n"/>
    </row>
    <row r="120" ht="53.4" customHeight="1">
      <c r="A120" s="106" t="n">
        <v>6</v>
      </c>
      <c r="B120" s="42" t="inlineStr"/>
      <c r="C120" s="377" t="n"/>
      <c r="D120" s="377" t="n"/>
      <c r="E120" s="41">
        <f>G37</f>
        <v/>
      </c>
      <c r="F120" s="43" t="inlineStr">
        <is>
          <t>sqft. And actual area at site   31X39 =</t>
        </is>
      </c>
      <c r="G120" s="377" t="n"/>
      <c r="H120" s="377" t="n"/>
      <c r="I120" s="41">
        <f>G38</f>
        <v/>
      </c>
      <c r="J120" s="98" t="inlineStr">
        <is>
          <t>sqft hence lower area considered as per bank norms.</t>
        </is>
      </c>
      <c r="K120" s="380" t="n"/>
    </row>
    <row r="121" ht="52.95" customHeight="1">
      <c r="A121" s="106" t="n">
        <v>7</v>
      </c>
      <c r="B121" s="411" t="inlineStr"/>
      <c r="C121" s="377" t="n"/>
      <c r="D121" s="377" t="n"/>
      <c r="E121" s="377" t="n"/>
      <c r="F121" s="377" t="n"/>
      <c r="G121" s="377" t="n"/>
      <c r="H121" s="377" t="n"/>
      <c r="I121" s="377" t="n"/>
      <c r="J121" s="377" t="n"/>
      <c r="K121" s="380" t="n"/>
    </row>
    <row r="122" ht="41.4" customHeight="1">
      <c r="A122" s="106" t="n">
        <v>8</v>
      </c>
      <c r="B122" s="411" t="inlineStr"/>
      <c r="C122" s="377" t="n"/>
      <c r="D122" s="377" t="n"/>
      <c r="E122" s="377" t="n"/>
      <c r="F122" s="377" t="n"/>
      <c r="G122" s="377" t="n"/>
      <c r="H122" s="377" t="n"/>
      <c r="I122" s="377" t="n"/>
      <c r="J122" s="377" t="n"/>
      <c r="K122" s="380" t="n"/>
    </row>
    <row r="123" ht="36" customHeight="1">
      <c r="A123" s="106" t="n">
        <v>9</v>
      </c>
      <c r="B123" s="411" t="inlineStr"/>
      <c r="C123" s="377" t="n"/>
      <c r="D123" s="377" t="n"/>
      <c r="E123" s="377" t="n"/>
      <c r="F123" s="377" t="n"/>
      <c r="G123" s="377" t="n"/>
      <c r="H123" s="377" t="n"/>
      <c r="I123" s="377" t="n"/>
      <c r="J123" s="377" t="n"/>
      <c r="K123" s="380" t="n"/>
    </row>
    <row r="124" ht="28.2" customHeight="1">
      <c r="A124" s="106" t="n">
        <v>10</v>
      </c>
      <c r="B124" s="411" t="inlineStr"/>
      <c r="C124" s="377" t="n"/>
      <c r="D124" s="377" t="n"/>
      <c r="E124" s="377" t="n"/>
      <c r="F124" s="377" t="n"/>
      <c r="G124" s="377" t="n"/>
      <c r="H124" s="377" t="n"/>
      <c r="I124" s="377" t="n"/>
      <c r="J124" s="377" t="n"/>
      <c r="K124" s="380" t="n"/>
    </row>
    <row r="125" ht="36.6" customHeight="1">
      <c r="A125" s="106" t="n">
        <v>11</v>
      </c>
      <c r="B125" s="411" t="inlineStr"/>
      <c r="C125" s="377" t="n"/>
      <c r="D125" s="377" t="n"/>
      <c r="E125" s="377" t="n"/>
      <c r="F125" s="377" t="n"/>
      <c r="G125" s="377" t="n"/>
      <c r="H125" s="377" t="n"/>
      <c r="I125" s="377" t="n"/>
      <c r="J125" s="377" t="n"/>
      <c r="K125" s="380" t="n"/>
    </row>
    <row r="126" ht="22.8" customHeight="1">
      <c r="A126" s="106" t="inlineStr">
        <is>
          <t>Name of Consumer</t>
        </is>
      </c>
      <c r="B126" s="378" t="n"/>
      <c r="C126" s="218" t="inlineStr"/>
      <c r="D126" s="106" t="inlineStr">
        <is>
          <t>Elect. Meter Number</t>
        </is>
      </c>
      <c r="E126" s="377" t="n"/>
      <c r="F126" s="378" t="n"/>
      <c r="G126" s="106" t="inlineStr"/>
      <c r="H126" s="378" t="n"/>
      <c r="I126" s="106" t="inlineStr">
        <is>
          <t>Elect. Bill Number</t>
        </is>
      </c>
      <c r="J126" s="378" t="n"/>
      <c r="K126" s="218" t="inlineStr"/>
    </row>
    <row r="127" ht="27" customHeight="1">
      <c r="A127" s="285" t="inlineStr">
        <is>
          <t>Person met At the time of Visit</t>
        </is>
      </c>
      <c r="B127" s="377" t="n"/>
      <c r="C127" s="377" t="n"/>
      <c r="D127" s="377" t="n"/>
      <c r="E127" s="378" t="n"/>
      <c r="F127" s="286" t="n"/>
      <c r="G127" s="378" t="n"/>
      <c r="H127" s="285" t="inlineStr">
        <is>
          <t xml:space="preserve">Relation with Applicant </t>
        </is>
      </c>
      <c r="I127" s="377" t="n"/>
      <c r="J127" s="378" t="n"/>
      <c r="K127" s="32" t="n"/>
    </row>
    <row r="128" ht="23.25" customHeight="1">
      <c r="A128" s="293" t="inlineStr">
        <is>
          <t>PUPOSED CONSTRUCTION / RENOVATION</t>
        </is>
      </c>
      <c r="B128" s="377" t="n"/>
      <c r="C128" s="378" t="n"/>
      <c r="D128" s="103" t="inlineStr">
        <is>
          <t>Area ( To Be Constructed )</t>
        </is>
      </c>
      <c r="E128" s="377" t="n"/>
      <c r="F128" s="378" t="n"/>
      <c r="G128" s="103" t="inlineStr">
        <is>
          <t>Unit Rate ( In Sq.FT.)</t>
        </is>
      </c>
      <c r="H128" s="378" t="n"/>
      <c r="I128" s="103" t="inlineStr">
        <is>
          <t xml:space="preserve">Total Estimated Value </t>
        </is>
      </c>
      <c r="J128" s="377" t="n"/>
      <c r="K128" s="378" t="n"/>
    </row>
    <row r="129" ht="23.25" customHeight="1">
      <c r="A129" s="293" t="inlineStr">
        <is>
          <t xml:space="preserve">ESTIMATE VALUE </t>
        </is>
      </c>
      <c r="B129" s="377" t="n"/>
      <c r="C129" s="378" t="n"/>
      <c r="D129" s="292" t="n">
        <v>0</v>
      </c>
      <c r="E129" s="377" t="n"/>
      <c r="F129" s="378" t="n"/>
      <c r="G129" s="292" t="n">
        <v>0</v>
      </c>
      <c r="H129" s="378" t="n"/>
      <c r="I129" s="288">
        <f>D129*G129</f>
        <v/>
      </c>
      <c r="J129" s="377" t="n"/>
      <c r="K129" s="380" t="n"/>
    </row>
    <row r="130" ht="23.25" customHeight="1">
      <c r="A130" s="171" t="inlineStr">
        <is>
          <t xml:space="preserve">AFTER COMPLETION TOTAL PROPERTY VALUE </t>
        </is>
      </c>
      <c r="B130" s="377" t="n"/>
      <c r="C130" s="377" t="n"/>
      <c r="D130" s="173">
        <f>I129+E108</f>
        <v/>
      </c>
      <c r="E130" s="377" t="n"/>
      <c r="F130" s="377" t="n"/>
      <c r="G130" s="377" t="n"/>
      <c r="H130" s="377" t="n"/>
      <c r="I130" s="377" t="n"/>
      <c r="J130" s="377" t="n"/>
      <c r="K130" s="380" t="n"/>
    </row>
    <row r="131" ht="22.8" customFormat="1" customHeight="1" s="15">
      <c r="A131" s="419" t="inlineStr"/>
      <c r="B131" s="383" t="n"/>
      <c r="C131" s="383" t="n"/>
      <c r="D131" s="383" t="n"/>
      <c r="E131" s="383" t="n"/>
      <c r="F131" s="383" t="n"/>
      <c r="G131" s="383" t="n"/>
      <c r="H131" s="383" t="n"/>
      <c r="I131" s="383" t="n"/>
      <c r="J131" s="383" t="n"/>
      <c r="K131" s="387" t="n"/>
    </row>
    <row r="132" ht="22.8" customHeight="1">
      <c r="A132" s="420" t="inlineStr">
        <is>
          <t>2) We have no direct or indirect interest in the property valued.</t>
        </is>
      </c>
      <c r="K132" s="364" t="n"/>
    </row>
    <row r="133" ht="22.8" customHeight="1">
      <c r="A133" s="420" t="inlineStr">
        <is>
          <t>3) The information furnished above is true and correct to the best of our knowledge and belief and takes into account information and / or documents submitted or shown to us by the client.</t>
        </is>
      </c>
      <c r="K133" s="364" t="n"/>
    </row>
    <row r="134" ht="5.25" customHeight="1">
      <c r="A134" s="420" t="inlineStr">
        <is>
          <t>4) The fair market value indicated in the report is an opinion of the value prevailing on the date of the said report and is based on market feedback on values of similar properties. The client is free to obtain other independent opinions on the same.</t>
        </is>
      </c>
      <c r="K134" s="364" t="n"/>
    </row>
    <row r="135" ht="41.25" customHeight="1">
      <c r="A135" s="363" t="n"/>
      <c r="K135" s="364" t="n"/>
    </row>
    <row r="136" ht="22.8" customHeight="1">
      <c r="A136" s="420" t="inlineStr">
        <is>
          <t>5)The fair market value of such properties / localities may increase or decrease, depending on the future market conditions and scenarios</t>
        </is>
      </c>
      <c r="K136" s="364" t="n"/>
    </row>
    <row r="137" ht="23.4" customHeight="1" thickBot="1">
      <c r="A137" s="420" t="inlineStr">
        <is>
          <t>6) This report does not certify or confirm any ownership or title of the property that has been valued.</t>
        </is>
      </c>
      <c r="K137" s="364" t="n"/>
    </row>
    <row r="138" ht="357" customHeight="1" thickBot="1">
      <c r="A138" s="421" t="inlineStr">
        <is>
          <t>PROPERTY PAPER FRONT</t>
        </is>
      </c>
      <c r="B138" s="368" t="n"/>
      <c r="C138" s="368" t="n"/>
      <c r="D138" s="371" t="n"/>
      <c r="E138" s="421" t="n"/>
      <c r="F138" s="368" t="n"/>
      <c r="G138" s="368" t="n"/>
      <c r="H138" s="371" t="n"/>
      <c r="I138" s="421" t="n"/>
      <c r="J138" s="368" t="n"/>
      <c r="K138" s="371" t="n"/>
    </row>
    <row r="139" ht="30" customHeight="1">
      <c r="A139" s="422" t="inlineStr">
        <is>
          <t>VENDOR/ FIRM NAME</t>
        </is>
      </c>
      <c r="B139" s="360" t="n"/>
      <c r="C139" s="360" t="n"/>
      <c r="D139" s="360" t="n"/>
      <c r="E139" s="360" t="n"/>
      <c r="F139" s="360" t="n"/>
      <c r="G139" s="360" t="n"/>
      <c r="H139" s="360" t="n"/>
      <c r="I139" s="360" t="n"/>
      <c r="J139" s="360" t="n"/>
      <c r="K139" s="362" t="n"/>
    </row>
    <row r="140" ht="30" customHeight="1">
      <c r="A140" s="423" t="inlineStr">
        <is>
          <t>ADDRESS :- FF Gaurav Business Sqaure Sanchi road Vidisha</t>
        </is>
      </c>
      <c r="K140" s="364" t="n"/>
    </row>
    <row r="141" ht="29.25" customHeight="1" thickBot="1">
      <c r="A141" s="340" t="inlineStr">
        <is>
          <t>CONTACT NUMBER ;- 9425327032</t>
        </is>
      </c>
      <c r="B141" s="365" t="n"/>
      <c r="C141" s="365" t="n"/>
      <c r="D141" s="365" t="n"/>
      <c r="E141" s="365" t="n"/>
      <c r="F141" s="365" t="n"/>
      <c r="G141" s="342" t="inlineStr">
        <is>
          <t>MAIL ID :-Sakshamvaluer@yahoo.com</t>
        </is>
      </c>
      <c r="H141" s="365" t="n"/>
      <c r="I141" s="365" t="n"/>
      <c r="J141" s="365" t="n"/>
      <c r="K141" s="367" t="n"/>
    </row>
    <row r="142" ht="22.8" customHeight="1">
      <c r="A142" s="17" t="inlineStr">
        <is>
          <t>ADDRESS</t>
        </is>
      </c>
      <c r="B142" s="263" t="inlineStr"/>
      <c r="C142" s="377" t="n"/>
      <c r="D142" s="377" t="n"/>
      <c r="E142" s="377" t="n"/>
      <c r="F142" s="377" t="n"/>
      <c r="G142" s="377" t="n"/>
      <c r="H142" s="377" t="n"/>
      <c r="I142" s="377" t="n"/>
      <c r="J142" s="377" t="n"/>
      <c r="K142" s="378" t="n"/>
    </row>
    <row r="143" ht="22.8" customHeight="1">
      <c r="A143" s="262" t="inlineStr">
        <is>
          <t>Coordinates :-</t>
        </is>
      </c>
      <c r="B143" s="378" t="n"/>
      <c r="C143" s="263">
        <f>C269</f>
        <v/>
      </c>
      <c r="D143" s="377" t="n"/>
      <c r="E143" s="377" t="n"/>
      <c r="F143" s="378" t="n"/>
      <c r="G143" s="303">
        <f>G269</f>
        <v/>
      </c>
      <c r="H143" s="377" t="n"/>
      <c r="I143" s="377" t="n"/>
      <c r="J143" s="377" t="n"/>
      <c r="K143" s="380" t="n"/>
    </row>
    <row r="144" ht="15" customHeight="1">
      <c r="A144" s="424" t="inlineStr">
        <is>
          <t xml:space="preserve"> </t>
        </is>
      </c>
      <c r="B144" s="383" t="n"/>
      <c r="C144" s="383" t="n"/>
      <c r="D144" s="383" t="n"/>
      <c r="E144" s="383" t="n"/>
      <c r="F144" s="387" t="n"/>
      <c r="G144" s="425" t="inlineStr">
        <is>
          <t xml:space="preserve"> </t>
        </is>
      </c>
      <c r="H144" s="383" t="n"/>
      <c r="I144" s="383" t="n"/>
      <c r="J144" s="383" t="n"/>
      <c r="K144" s="387" t="n"/>
    </row>
    <row r="145" ht="15" customHeight="1">
      <c r="A145" s="363" t="n"/>
      <c r="F145" s="364" t="n"/>
      <c r="G145" s="363" t="n"/>
      <c r="K145" s="364" t="n"/>
    </row>
    <row r="146" ht="15" customHeight="1">
      <c r="A146" s="363" t="n"/>
      <c r="F146" s="364" t="n"/>
      <c r="G146" s="363" t="n"/>
      <c r="K146" s="364" t="n"/>
    </row>
    <row r="147" ht="15" customHeight="1">
      <c r="A147" s="363" t="n"/>
      <c r="F147" s="364" t="n"/>
      <c r="G147" s="363" t="n"/>
      <c r="K147" s="364" t="n"/>
    </row>
    <row r="148" ht="15" customHeight="1">
      <c r="A148" s="363" t="n"/>
      <c r="F148" s="364" t="n"/>
      <c r="G148" s="363" t="n"/>
      <c r="K148" s="364" t="n"/>
    </row>
    <row r="149" ht="15" customHeight="1">
      <c r="A149" s="363" t="n"/>
      <c r="F149" s="364" t="n"/>
      <c r="G149" s="363" t="n"/>
      <c r="K149" s="364" t="n"/>
    </row>
    <row r="150" ht="15" customHeight="1">
      <c r="A150" s="363" t="n"/>
      <c r="F150" s="364" t="n"/>
      <c r="G150" s="363" t="n"/>
      <c r="K150" s="364" t="n"/>
    </row>
    <row r="151" ht="15" customHeight="1">
      <c r="A151" s="363" t="n"/>
      <c r="F151" s="364" t="n"/>
      <c r="G151" s="363" t="n"/>
      <c r="K151" s="364" t="n"/>
    </row>
    <row r="152" ht="15" customHeight="1">
      <c r="A152" s="363" t="n"/>
      <c r="F152" s="364" t="n"/>
      <c r="G152" s="363" t="n"/>
      <c r="K152" s="364" t="n"/>
    </row>
    <row r="153" ht="15" customHeight="1">
      <c r="A153" s="363" t="n"/>
      <c r="F153" s="364" t="n"/>
      <c r="G153" s="363" t="n"/>
      <c r="K153" s="364" t="n"/>
    </row>
    <row r="154" ht="15" customHeight="1">
      <c r="A154" s="363" t="n"/>
      <c r="F154" s="364" t="n"/>
      <c r="G154" s="363" t="n"/>
      <c r="K154" s="364" t="n"/>
    </row>
    <row r="155" ht="15" customHeight="1">
      <c r="A155" s="363" t="n"/>
      <c r="F155" s="364" t="n"/>
      <c r="G155" s="363" t="n"/>
      <c r="K155" s="364" t="n"/>
    </row>
    <row r="156" ht="15" customHeight="1">
      <c r="A156" s="363" t="n"/>
      <c r="F156" s="364" t="n"/>
      <c r="G156" s="363" t="n"/>
      <c r="K156" s="364" t="n"/>
    </row>
    <row r="157" ht="15" customHeight="1">
      <c r="A157" s="363" t="n"/>
      <c r="F157" s="364" t="n"/>
      <c r="G157" s="363" t="n"/>
      <c r="K157" s="364" t="n"/>
      <c r="L157" s="1" t="inlineStr">
        <is>
          <t>S</t>
        </is>
      </c>
    </row>
    <row r="158" ht="15" customHeight="1">
      <c r="A158" s="363" t="n"/>
      <c r="F158" s="364" t="n"/>
      <c r="G158" s="363" t="n"/>
      <c r="K158" s="364" t="n"/>
    </row>
    <row r="159" ht="15" customHeight="1">
      <c r="A159" s="363" t="n"/>
      <c r="F159" s="364" t="n"/>
      <c r="G159" s="363" t="n"/>
      <c r="K159" s="364" t="n"/>
    </row>
    <row r="160" ht="15" customHeight="1">
      <c r="A160" s="363" t="n"/>
      <c r="F160" s="364" t="n"/>
      <c r="G160" s="363" t="n"/>
      <c r="K160" s="364" t="n"/>
    </row>
    <row r="161" ht="15" customHeight="1">
      <c r="A161" s="363" t="n"/>
      <c r="F161" s="364" t="n"/>
      <c r="G161" s="363" t="n"/>
      <c r="K161" s="364" t="n"/>
    </row>
    <row r="162" ht="15" customHeight="1">
      <c r="A162" s="363" t="n"/>
      <c r="F162" s="364" t="n"/>
      <c r="G162" s="363" t="n"/>
      <c r="K162" s="364" t="n"/>
    </row>
    <row r="163" ht="15" customHeight="1">
      <c r="A163" s="363" t="n"/>
      <c r="F163" s="364" t="n"/>
      <c r="G163" s="363" t="n"/>
      <c r="K163" s="364" t="n"/>
    </row>
    <row r="164" ht="15" customHeight="1">
      <c r="A164" s="363" t="n"/>
      <c r="F164" s="364" t="n"/>
      <c r="G164" s="363" t="n"/>
      <c r="K164" s="364" t="n"/>
    </row>
    <row r="165" ht="86.25" customHeight="1" thickBot="1">
      <c r="A165" s="363" t="n"/>
      <c r="F165" s="364" t="n"/>
      <c r="G165" s="366" t="n"/>
      <c r="H165" s="365" t="n"/>
      <c r="I165" s="365" t="n"/>
      <c r="J165" s="365" t="n"/>
      <c r="K165" s="367" t="n"/>
    </row>
    <row r="166" ht="27" customHeight="1" thickBot="1">
      <c r="A166" s="426" t="inlineStr">
        <is>
          <t>PROPERTY FRONT PHOTO</t>
        </is>
      </c>
      <c r="B166" s="368" t="n"/>
      <c r="C166" s="368" t="n"/>
      <c r="D166" s="368" t="n"/>
      <c r="E166" s="368" t="n"/>
      <c r="F166" s="371" t="n"/>
      <c r="G166" s="426" t="inlineStr">
        <is>
          <t>APPROACH ROAD PHOTO</t>
        </is>
      </c>
      <c r="H166" s="368" t="n"/>
      <c r="I166" s="368" t="n"/>
      <c r="J166" s="368" t="n"/>
      <c r="K166" s="371" t="n"/>
    </row>
    <row r="167" ht="8.25" customHeight="1">
      <c r="A167" s="427" t="n"/>
      <c r="B167" s="360" t="n"/>
      <c r="C167" s="360" t="n"/>
      <c r="D167" s="360" t="n"/>
      <c r="E167" s="360" t="n"/>
      <c r="F167" s="362" t="n"/>
      <c r="G167" s="427" t="n"/>
      <c r="H167" s="360" t="n"/>
      <c r="I167" s="360" t="n"/>
      <c r="J167" s="360" t="n"/>
      <c r="K167" s="362" t="n"/>
    </row>
    <row r="168">
      <c r="A168" s="363" t="n"/>
      <c r="F168" s="364" t="n"/>
      <c r="G168" s="363" t="n"/>
      <c r="K168" s="364" t="n"/>
    </row>
    <row r="169">
      <c r="A169" s="363" t="n"/>
      <c r="F169" s="364" t="n"/>
      <c r="G169" s="363" t="n"/>
      <c r="K169" s="364" t="n"/>
    </row>
    <row r="170">
      <c r="A170" s="363" t="n"/>
      <c r="F170" s="364" t="n"/>
      <c r="G170" s="363" t="n"/>
      <c r="K170" s="364" t="n"/>
    </row>
    <row r="171">
      <c r="A171" s="363" t="n"/>
      <c r="F171" s="364" t="n"/>
      <c r="G171" s="363" t="n"/>
      <c r="K171" s="364" t="n"/>
    </row>
    <row r="172">
      <c r="A172" s="363" t="n"/>
      <c r="F172" s="364" t="n"/>
      <c r="G172" s="363" t="n"/>
      <c r="K172" s="364" t="n"/>
    </row>
    <row r="173">
      <c r="A173" s="363" t="n"/>
      <c r="F173" s="364" t="n"/>
      <c r="G173" s="363" t="n"/>
      <c r="K173" s="364" t="n"/>
    </row>
    <row r="174">
      <c r="A174" s="363" t="n"/>
      <c r="F174" s="364" t="n"/>
      <c r="G174" s="363" t="n"/>
      <c r="K174" s="364" t="n"/>
    </row>
    <row r="175">
      <c r="A175" s="363" t="n"/>
      <c r="F175" s="364" t="n"/>
      <c r="G175" s="363" t="n"/>
      <c r="K175" s="364" t="n"/>
    </row>
    <row r="176">
      <c r="A176" s="363" t="n"/>
      <c r="F176" s="364" t="n"/>
      <c r="G176" s="363" t="n"/>
      <c r="K176" s="364" t="n"/>
    </row>
    <row r="177">
      <c r="A177" s="363" t="n"/>
      <c r="F177" s="364" t="n"/>
      <c r="G177" s="363" t="n"/>
      <c r="K177" s="364" t="n"/>
    </row>
    <row r="178">
      <c r="A178" s="363" t="n"/>
      <c r="F178" s="364" t="n"/>
      <c r="G178" s="363" t="n"/>
      <c r="K178" s="364" t="n"/>
    </row>
    <row r="179">
      <c r="A179" s="363" t="n"/>
      <c r="F179" s="364" t="n"/>
      <c r="G179" s="363" t="n"/>
      <c r="K179" s="364" t="n"/>
    </row>
    <row r="180">
      <c r="A180" s="363" t="n"/>
      <c r="F180" s="364" t="n"/>
      <c r="G180" s="363" t="n"/>
      <c r="K180" s="364" t="n"/>
    </row>
    <row r="181">
      <c r="A181" s="363" t="n"/>
      <c r="F181" s="364" t="n"/>
      <c r="G181" s="363" t="n"/>
      <c r="K181" s="364" t="n"/>
    </row>
    <row r="182">
      <c r="A182" s="363" t="n"/>
      <c r="F182" s="364" t="n"/>
      <c r="G182" s="363" t="n"/>
      <c r="K182" s="364" t="n"/>
    </row>
    <row r="183">
      <c r="A183" s="363" t="n"/>
      <c r="F183" s="364" t="n"/>
      <c r="G183" s="363" t="n"/>
      <c r="K183" s="364" t="n"/>
    </row>
    <row r="184">
      <c r="A184" s="363" t="n"/>
      <c r="F184" s="364" t="n"/>
      <c r="G184" s="363" t="n"/>
      <c r="K184" s="364" t="n"/>
    </row>
    <row r="185">
      <c r="A185" s="363" t="n"/>
      <c r="F185" s="364" t="n"/>
      <c r="G185" s="363" t="n"/>
      <c r="K185" s="364" t="n"/>
    </row>
    <row r="186" ht="73.5" customHeight="1" thickBot="1">
      <c r="A186" s="363" t="n"/>
      <c r="F186" s="364" t="n"/>
      <c r="G186" s="363" t="n"/>
      <c r="K186" s="364" t="n"/>
    </row>
    <row r="187" ht="33" customHeight="1" thickBot="1">
      <c r="A187" s="426" t="inlineStr">
        <is>
          <t>INTERNAL PHOTOS (Room, Hall,)</t>
        </is>
      </c>
      <c r="B187" s="368" t="n"/>
      <c r="C187" s="368" t="n"/>
      <c r="D187" s="368" t="n"/>
      <c r="E187" s="368" t="n"/>
      <c r="F187" s="371" t="n"/>
      <c r="G187" s="426" t="inlineStr">
        <is>
          <t>KITCHEN PHOTO</t>
        </is>
      </c>
      <c r="H187" s="368" t="n"/>
      <c r="I187" s="368" t="n"/>
      <c r="J187" s="368" t="n"/>
      <c r="K187" s="371" t="n"/>
    </row>
    <row r="188" ht="15" customHeight="1">
      <c r="A188" s="428" t="n"/>
      <c r="B188" s="360" t="n"/>
      <c r="C188" s="360" t="n"/>
      <c r="D188" s="360" t="n"/>
      <c r="E188" s="360" t="n"/>
      <c r="F188" s="362" t="n"/>
      <c r="G188" s="429" t="n"/>
      <c r="H188" s="360" t="n"/>
      <c r="I188" s="360" t="n"/>
      <c r="J188" s="360" t="n"/>
      <c r="K188" s="362" t="n"/>
    </row>
    <row r="189" ht="15" customHeight="1">
      <c r="A189" s="363" t="n"/>
      <c r="F189" s="364" t="n"/>
      <c r="G189" s="363" t="n"/>
      <c r="K189" s="364" t="n"/>
    </row>
    <row r="190" ht="15" customHeight="1">
      <c r="A190" s="363" t="n"/>
      <c r="F190" s="364" t="n"/>
      <c r="G190" s="363" t="n"/>
      <c r="K190" s="364" t="n"/>
    </row>
    <row r="191" ht="15" customHeight="1">
      <c r="A191" s="363" t="n"/>
      <c r="F191" s="364" t="n"/>
      <c r="G191" s="363" t="n"/>
      <c r="K191" s="364" t="n"/>
    </row>
    <row r="192" ht="15" customHeight="1">
      <c r="A192" s="363" t="n"/>
      <c r="F192" s="364" t="n"/>
      <c r="G192" s="363" t="n"/>
      <c r="K192" s="364" t="n"/>
    </row>
    <row r="193" ht="15" customHeight="1">
      <c r="A193" s="363" t="n"/>
      <c r="F193" s="364" t="n"/>
      <c r="G193" s="363" t="n"/>
      <c r="K193" s="364" t="n"/>
    </row>
    <row r="194" ht="15" customHeight="1">
      <c r="A194" s="363" t="n"/>
      <c r="F194" s="364" t="n"/>
      <c r="G194" s="363" t="n"/>
      <c r="K194" s="364" t="n"/>
    </row>
    <row r="195" ht="15" customHeight="1">
      <c r="A195" s="363" t="n"/>
      <c r="F195" s="364" t="n"/>
      <c r="G195" s="363" t="n"/>
      <c r="K195" s="364" t="n"/>
    </row>
    <row r="196" ht="15" customHeight="1">
      <c r="A196" s="363" t="n"/>
      <c r="F196" s="364" t="n"/>
      <c r="G196" s="363" t="n"/>
      <c r="K196" s="364" t="n"/>
    </row>
    <row r="197" ht="15" customHeight="1">
      <c r="A197" s="363" t="n"/>
      <c r="F197" s="364" t="n"/>
      <c r="G197" s="363" t="n"/>
      <c r="K197" s="364" t="n"/>
    </row>
    <row r="198" ht="15" customHeight="1">
      <c r="A198" s="363" t="n"/>
      <c r="F198" s="364" t="n"/>
      <c r="G198" s="363" t="n"/>
      <c r="K198" s="364" t="n"/>
    </row>
    <row r="199" ht="15" customHeight="1">
      <c r="A199" s="363" t="n"/>
      <c r="F199" s="364" t="n"/>
      <c r="G199" s="363" t="n"/>
      <c r="K199" s="364" t="n"/>
    </row>
    <row r="200" ht="15" customHeight="1">
      <c r="A200" s="363" t="n"/>
      <c r="F200" s="364" t="n"/>
      <c r="G200" s="363" t="n"/>
      <c r="K200" s="364" t="n"/>
    </row>
    <row r="201" ht="15" customHeight="1">
      <c r="A201" s="363" t="n"/>
      <c r="F201" s="364" t="n"/>
      <c r="G201" s="363" t="n"/>
      <c r="K201" s="364" t="n"/>
    </row>
    <row r="202" ht="15" customHeight="1">
      <c r="A202" s="363" t="n"/>
      <c r="F202" s="364" t="n"/>
      <c r="G202" s="363" t="n"/>
      <c r="K202" s="364" t="n"/>
    </row>
    <row r="203" ht="15" customHeight="1">
      <c r="A203" s="363" t="n"/>
      <c r="F203" s="364" t="n"/>
      <c r="G203" s="363" t="n"/>
      <c r="K203" s="364" t="n"/>
    </row>
    <row r="204" ht="15" customHeight="1">
      <c r="A204" s="363" t="n"/>
      <c r="F204" s="364" t="n"/>
      <c r="G204" s="363" t="n"/>
      <c r="K204" s="364" t="n"/>
    </row>
    <row r="205" ht="15" customHeight="1">
      <c r="A205" s="363" t="n"/>
      <c r="F205" s="364" t="n"/>
      <c r="G205" s="363" t="n"/>
      <c r="K205" s="364" t="n"/>
    </row>
    <row r="206" ht="15" customHeight="1">
      <c r="A206" s="363" t="n"/>
      <c r="F206" s="364" t="n"/>
      <c r="G206" s="363" t="n"/>
      <c r="K206" s="364" t="n"/>
    </row>
    <row r="207" ht="15" customHeight="1">
      <c r="A207" s="363" t="n"/>
      <c r="F207" s="364" t="n"/>
      <c r="G207" s="363" t="n"/>
      <c r="K207" s="364" t="n"/>
    </row>
    <row r="208" ht="15" customHeight="1">
      <c r="A208" s="363" t="n"/>
      <c r="F208" s="364" t="n"/>
      <c r="G208" s="363" t="n"/>
      <c r="K208" s="364" t="n"/>
    </row>
    <row r="209" ht="15" customHeight="1">
      <c r="A209" s="363" t="n"/>
      <c r="F209" s="364" t="n"/>
      <c r="G209" s="363" t="n"/>
      <c r="K209" s="364" t="n"/>
    </row>
    <row r="210" ht="15" customHeight="1">
      <c r="A210" s="363" t="n"/>
      <c r="F210" s="364" t="n"/>
      <c r="G210" s="363" t="n"/>
      <c r="K210" s="364" t="n"/>
    </row>
    <row r="211" ht="90" customHeight="1" thickBot="1">
      <c r="A211" s="363" t="n"/>
      <c r="F211" s="364" t="n"/>
      <c r="G211" s="363" t="n"/>
      <c r="K211" s="364" t="n"/>
    </row>
    <row r="212" ht="35.25" customHeight="1" thickBot="1">
      <c r="A212" s="426" t="inlineStr">
        <is>
          <t>SELFI WITH FRONT OF PROPERTY ALONG WITH PERSON WHI MET</t>
        </is>
      </c>
      <c r="B212" s="368" t="n"/>
      <c r="C212" s="368" t="n"/>
      <c r="D212" s="368" t="n"/>
      <c r="E212" s="368" t="n"/>
      <c r="F212" s="371" t="n"/>
      <c r="G212" s="426" t="inlineStr">
        <is>
          <t>METER PHOTO / E-BILL PHOTO</t>
        </is>
      </c>
      <c r="H212" s="368" t="n"/>
      <c r="I212" s="368" t="n"/>
      <c r="J212" s="368" t="n"/>
      <c r="K212" s="371" t="n"/>
    </row>
    <row r="213" ht="16.2" customHeight="1" thickBot="1">
      <c r="A213" s="430" t="n"/>
      <c r="B213" s="365" t="n"/>
      <c r="C213" s="365" t="n"/>
      <c r="D213" s="365" t="n"/>
      <c r="E213" s="365" t="n"/>
      <c r="F213" s="365" t="n"/>
      <c r="G213" s="365" t="n"/>
      <c r="H213" s="365" t="n"/>
      <c r="I213" s="365" t="n"/>
      <c r="J213" s="365" t="n"/>
      <c r="K213" s="367" t="n"/>
    </row>
    <row r="214">
      <c r="A214" s="431" t="inlineStr">
        <is>
          <t>MANUAL SKETCH OF THE PROPERTY</t>
        </is>
      </c>
      <c r="B214" s="360" t="n"/>
      <c r="C214" s="360" t="n"/>
      <c r="D214" s="360" t="n"/>
      <c r="E214" s="360" t="n"/>
      <c r="F214" s="360" t="n"/>
      <c r="G214" s="360" t="n"/>
      <c r="H214" s="360" t="n"/>
      <c r="I214" s="360" t="n"/>
      <c r="J214" s="360" t="n"/>
      <c r="K214" s="362" t="n"/>
    </row>
    <row r="215" ht="15.6" customHeight="1" thickBot="1">
      <c r="A215" s="366" t="n"/>
      <c r="B215" s="365" t="n"/>
      <c r="C215" s="365" t="n"/>
      <c r="D215" s="365" t="n"/>
      <c r="E215" s="365" t="n"/>
      <c r="F215" s="365" t="n"/>
      <c r="G215" s="365" t="n"/>
      <c r="H215" s="365" t="n"/>
      <c r="I215" s="365" t="n"/>
      <c r="J215" s="365" t="n"/>
      <c r="K215" s="367" t="n"/>
    </row>
    <row r="216">
      <c r="A216" s="432" t="n"/>
      <c r="B216" s="360" t="n"/>
      <c r="C216" s="360" t="n"/>
      <c r="D216" s="360" t="n"/>
      <c r="E216" s="360" t="n"/>
      <c r="F216" s="360" t="n"/>
      <c r="G216" s="360" t="n"/>
      <c r="H216" s="360" t="n"/>
      <c r="I216" s="360" t="n"/>
      <c r="J216" s="360" t="n"/>
      <c r="K216" s="362" t="n"/>
    </row>
    <row r="217">
      <c r="A217" s="363" t="n"/>
      <c r="K217" s="364" t="n"/>
    </row>
    <row r="218">
      <c r="A218" s="363" t="n"/>
      <c r="K218" s="364" t="n"/>
    </row>
    <row r="219">
      <c r="A219" s="363" t="n"/>
      <c r="K219" s="364" t="n"/>
    </row>
    <row r="220">
      <c r="A220" s="363" t="n"/>
      <c r="K220" s="364" t="n"/>
    </row>
    <row r="221">
      <c r="A221" s="363" t="n"/>
      <c r="K221" s="364" t="n"/>
    </row>
    <row r="222">
      <c r="A222" s="363" t="n"/>
      <c r="K222" s="364" t="n"/>
    </row>
    <row r="223">
      <c r="A223" s="363" t="n"/>
      <c r="K223" s="364" t="n"/>
    </row>
    <row r="224">
      <c r="A224" s="363" t="n"/>
      <c r="K224" s="364" t="n"/>
    </row>
    <row r="225">
      <c r="A225" s="363" t="n"/>
      <c r="K225" s="364" t="n"/>
    </row>
    <row r="226">
      <c r="A226" s="363" t="n"/>
      <c r="K226" s="364" t="n"/>
    </row>
    <row r="227">
      <c r="A227" s="363" t="n"/>
      <c r="K227" s="364" t="n"/>
    </row>
    <row r="228">
      <c r="A228" s="363" t="n"/>
      <c r="K228" s="364" t="n"/>
    </row>
    <row r="229">
      <c r="A229" s="363" t="n"/>
      <c r="K229" s="364" t="n"/>
    </row>
    <row r="230">
      <c r="A230" s="363" t="n"/>
      <c r="K230" s="364" t="n"/>
    </row>
    <row r="231">
      <c r="A231" s="363" t="n"/>
      <c r="K231" s="364" t="n"/>
    </row>
    <row r="232">
      <c r="A232" s="363" t="n"/>
      <c r="K232" s="364" t="n"/>
    </row>
    <row r="233">
      <c r="A233" s="363" t="n"/>
      <c r="K233" s="364" t="n"/>
    </row>
    <row r="234">
      <c r="A234" s="363" t="n"/>
      <c r="K234" s="364" t="n"/>
    </row>
    <row r="235">
      <c r="A235" s="363" t="n"/>
      <c r="K235" s="364" t="n"/>
    </row>
    <row r="236">
      <c r="A236" s="363" t="n"/>
      <c r="K236" s="364" t="n"/>
    </row>
    <row r="237">
      <c r="A237" s="363" t="n"/>
      <c r="K237" s="364" t="n"/>
    </row>
    <row r="238">
      <c r="A238" s="363" t="n"/>
      <c r="K238" s="364" t="n"/>
    </row>
    <row r="239">
      <c r="A239" s="363" t="n"/>
      <c r="K239" s="364" t="n"/>
    </row>
    <row r="240" ht="115.95" customHeight="1" thickBot="1">
      <c r="A240" s="366" t="n"/>
      <c r="B240" s="365" t="n"/>
      <c r="C240" s="365" t="n"/>
      <c r="D240" s="365" t="n"/>
      <c r="E240" s="365" t="n"/>
      <c r="F240" s="365" t="n"/>
      <c r="G240" s="365" t="n"/>
      <c r="H240" s="365" t="n"/>
      <c r="I240" s="365" t="n"/>
      <c r="J240" s="365" t="n"/>
      <c r="K240" s="367" t="n"/>
    </row>
    <row r="241" ht="15.6" customHeight="1">
      <c r="A241" s="432" t="n"/>
      <c r="B241" s="360" t="n"/>
      <c r="C241" s="360" t="n"/>
      <c r="D241" s="360" t="n"/>
      <c r="E241" s="360" t="n"/>
      <c r="F241" s="360" t="n"/>
      <c r="G241" s="360" t="n"/>
      <c r="H241" s="360" t="n"/>
      <c r="I241" s="360" t="n"/>
      <c r="J241" s="360" t="n"/>
      <c r="K241" s="362" t="n"/>
    </row>
    <row r="242" ht="15.75" customHeight="1">
      <c r="A242" s="363" t="n"/>
      <c r="K242" s="364" t="n"/>
    </row>
    <row r="243" ht="15.75" customHeight="1">
      <c r="A243" s="363" t="n"/>
      <c r="K243" s="364" t="n"/>
    </row>
    <row r="244" ht="15.75" customHeight="1">
      <c r="A244" s="363" t="n"/>
      <c r="K244" s="364" t="n"/>
    </row>
    <row r="245" ht="15.75" customHeight="1">
      <c r="A245" s="363" t="n"/>
      <c r="K245" s="364" t="n"/>
    </row>
    <row r="246" ht="15.75" customHeight="1">
      <c r="A246" s="363" t="n"/>
      <c r="K246" s="364" t="n"/>
    </row>
    <row r="247" ht="15.75" customHeight="1">
      <c r="A247" s="363" t="n"/>
      <c r="K247" s="364" t="n"/>
    </row>
    <row r="248" ht="15.75" customHeight="1">
      <c r="A248" s="363" t="n"/>
      <c r="K248" s="364" t="n"/>
    </row>
    <row r="249" ht="15.75" customHeight="1">
      <c r="A249" s="363" t="n"/>
      <c r="K249" s="364" t="n"/>
    </row>
    <row r="250" ht="15.75" customHeight="1">
      <c r="A250" s="363" t="n"/>
      <c r="K250" s="364" t="n"/>
    </row>
    <row r="251" ht="15.75" customHeight="1">
      <c r="A251" s="363" t="n"/>
      <c r="K251" s="364" t="n"/>
    </row>
    <row r="252" ht="15.75" customHeight="1">
      <c r="A252" s="363" t="n"/>
      <c r="K252" s="364" t="n"/>
    </row>
    <row r="253" ht="15.75" customHeight="1">
      <c r="A253" s="363" t="n"/>
      <c r="K253" s="364" t="n"/>
    </row>
    <row r="254" ht="15.75" customHeight="1">
      <c r="A254" s="363" t="n"/>
      <c r="K254" s="364" t="n"/>
    </row>
    <row r="255" ht="15.75" customHeight="1">
      <c r="A255" s="363" t="n"/>
      <c r="K255" s="364" t="n"/>
    </row>
    <row r="256" ht="15.75" customHeight="1">
      <c r="A256" s="363" t="n"/>
      <c r="K256" s="364" t="n"/>
    </row>
    <row r="257" ht="15.75" customHeight="1">
      <c r="A257" s="363" t="n"/>
      <c r="K257" s="364" t="n"/>
    </row>
    <row r="258" ht="15.75" customHeight="1">
      <c r="A258" s="363" t="n"/>
      <c r="K258" s="364" t="n"/>
    </row>
    <row r="259" ht="15.75" customHeight="1">
      <c r="A259" s="363" t="n"/>
      <c r="K259" s="364" t="n"/>
    </row>
    <row r="260" ht="15.75" customHeight="1">
      <c r="A260" s="363" t="n"/>
      <c r="K260" s="364" t="n"/>
    </row>
    <row r="261" ht="15.75" customHeight="1">
      <c r="A261" s="363" t="n"/>
      <c r="K261" s="364" t="n"/>
    </row>
    <row r="262" ht="15.75" customHeight="1">
      <c r="A262" s="363" t="n"/>
      <c r="K262" s="364" t="n"/>
    </row>
    <row r="263" ht="15.75" customHeight="1">
      <c r="A263" s="363" t="n"/>
      <c r="K263" s="364" t="n"/>
    </row>
    <row r="264" ht="0.75" customHeight="1" thickBot="1">
      <c r="A264" s="363" t="n"/>
      <c r="K264" s="364" t="n"/>
    </row>
    <row r="265" hidden="1" ht="147" customHeight="1" thickBot="1">
      <c r="A265" s="366" t="n"/>
      <c r="B265" s="365" t="n"/>
      <c r="C265" s="365" t="n"/>
      <c r="D265" s="365" t="n"/>
      <c r="E265" s="365" t="n"/>
      <c r="F265" s="365" t="n"/>
      <c r="G265" s="365" t="n"/>
      <c r="H265" s="365" t="n"/>
      <c r="I265" s="365" t="n"/>
      <c r="J265" s="365" t="n"/>
      <c r="K265" s="367" t="n"/>
    </row>
    <row r="266" ht="15.75" customHeight="1">
      <c r="A266" s="431" t="inlineStr">
        <is>
          <t xml:space="preserve">GOOGLE EARTH PICTURE </t>
        </is>
      </c>
      <c r="B266" s="360" t="n"/>
      <c r="C266" s="360" t="n"/>
      <c r="D266" s="360" t="n"/>
      <c r="E266" s="360" t="n"/>
      <c r="F266" s="360" t="n"/>
      <c r="G266" s="360" t="n"/>
      <c r="H266" s="360" t="n"/>
      <c r="I266" s="360" t="n"/>
      <c r="J266" s="360" t="n"/>
      <c r="K266" s="362" t="n"/>
    </row>
    <row r="267" ht="15.75" customHeight="1" thickBot="1">
      <c r="A267" s="366" t="n"/>
      <c r="B267" s="365" t="n"/>
      <c r="C267" s="365" t="n"/>
      <c r="D267" s="365" t="n"/>
      <c r="E267" s="365" t="n"/>
      <c r="F267" s="365" t="n"/>
      <c r="G267" s="365" t="n"/>
      <c r="H267" s="365" t="n"/>
      <c r="I267" s="365" t="n"/>
      <c r="J267" s="365" t="n"/>
      <c r="K267" s="367" t="n"/>
    </row>
    <row r="268" ht="33" customHeight="1">
      <c r="A268" s="433">
        <f>C16</f>
        <v/>
      </c>
      <c r="B268" s="434" t="n"/>
      <c r="C268" s="434" t="n"/>
      <c r="D268" s="434" t="n"/>
      <c r="E268" s="434" t="n"/>
      <c r="F268" s="434" t="n"/>
      <c r="G268" s="434" t="n"/>
      <c r="H268" s="434" t="n"/>
      <c r="I268" s="434" t="n"/>
      <c r="J268" s="434" t="n"/>
      <c r="K268" s="435" t="n"/>
    </row>
    <row r="269" ht="25.2" customHeight="1">
      <c r="A269" s="321" t="inlineStr">
        <is>
          <t>Coordinates :-</t>
        </is>
      </c>
      <c r="B269" s="378" t="n"/>
      <c r="C269" s="322" t="inlineStr"/>
      <c r="D269" s="377" t="n"/>
      <c r="E269" s="377" t="n"/>
      <c r="F269" s="378" t="n"/>
      <c r="G269" s="436" t="inlineStr"/>
      <c r="H269" s="377" t="n"/>
      <c r="I269" s="377" t="n"/>
      <c r="J269" s="377" t="n"/>
      <c r="K269" s="380" t="n"/>
    </row>
    <row r="270" ht="15.75" customHeight="1">
      <c r="A270" s="437" t="n"/>
      <c r="B270" s="383" t="n"/>
      <c r="C270" s="383" t="n"/>
      <c r="D270" s="383" t="n"/>
      <c r="E270" s="383" t="n"/>
      <c r="F270" s="383" t="n"/>
      <c r="G270" s="383" t="n"/>
      <c r="H270" s="383" t="n"/>
      <c r="I270" s="383" t="n"/>
      <c r="J270" s="383" t="n"/>
      <c r="K270" s="387" t="n"/>
    </row>
    <row r="271" ht="15.75" customHeight="1">
      <c r="A271" s="363" t="n"/>
      <c r="K271" s="364" t="n"/>
    </row>
    <row r="272" ht="15.75" customHeight="1">
      <c r="A272" s="363" t="n"/>
      <c r="K272" s="364" t="n"/>
    </row>
    <row r="273" ht="15.75" customHeight="1">
      <c r="A273" s="363" t="n"/>
      <c r="K273" s="364" t="n"/>
    </row>
    <row r="274" ht="15.75" customHeight="1">
      <c r="A274" s="363" t="n"/>
      <c r="K274" s="364" t="n"/>
    </row>
    <row r="275" ht="15.75" customHeight="1">
      <c r="A275" s="363" t="n"/>
      <c r="K275" s="364" t="n"/>
    </row>
    <row r="276" ht="15.75" customHeight="1">
      <c r="A276" s="363" t="n"/>
      <c r="K276" s="364" t="n"/>
    </row>
    <row r="277" ht="15.75" customHeight="1">
      <c r="A277" s="363" t="n"/>
      <c r="K277" s="364" t="n"/>
    </row>
    <row r="278" ht="15.75" customHeight="1">
      <c r="A278" s="363" t="n"/>
      <c r="K278" s="364" t="n"/>
    </row>
    <row r="279" ht="15.75" customHeight="1">
      <c r="A279" s="363" t="n"/>
      <c r="K279" s="364" t="n"/>
    </row>
    <row r="280" ht="15.75" customHeight="1">
      <c r="A280" s="363" t="n"/>
      <c r="K280" s="364" t="n"/>
    </row>
    <row r="281" ht="15.75" customHeight="1">
      <c r="A281" s="363" t="n"/>
      <c r="K281" s="364" t="n"/>
    </row>
    <row r="282" ht="15.75" customHeight="1">
      <c r="A282" s="363" t="n"/>
      <c r="K282" s="364" t="n"/>
    </row>
    <row r="283" ht="2.4" customHeight="1">
      <c r="A283" s="363" t="n"/>
      <c r="K283" s="364" t="n"/>
    </row>
    <row r="284" hidden="1" ht="15.6" customHeight="1">
      <c r="A284" s="363" t="n"/>
      <c r="K284" s="364" t="n"/>
    </row>
    <row r="285" hidden="1" ht="15.6" customHeight="1">
      <c r="A285" s="363" t="n"/>
      <c r="K285" s="364" t="n"/>
    </row>
    <row r="286" hidden="1" ht="15.6" customHeight="1">
      <c r="A286" s="363" t="n"/>
      <c r="K286" s="364" t="n"/>
    </row>
    <row r="287" hidden="1" ht="15.6" customHeight="1">
      <c r="A287" s="363" t="n"/>
      <c r="K287" s="364" t="n"/>
    </row>
    <row r="288" hidden="1" ht="15.6" customHeight="1">
      <c r="A288" s="363" t="n"/>
      <c r="K288" s="364" t="n"/>
    </row>
    <row r="289" hidden="1" ht="15.6" customHeight="1">
      <c r="A289" s="363" t="n"/>
      <c r="K289" s="364" t="n"/>
    </row>
    <row r="290" hidden="1" ht="15.6" customHeight="1">
      <c r="A290" s="363" t="n"/>
      <c r="K290" s="364" t="n"/>
    </row>
    <row r="291" hidden="1" ht="15.6" customHeight="1">
      <c r="A291" s="363" t="n"/>
      <c r="K291" s="364" t="n"/>
    </row>
    <row r="292" hidden="1" ht="15.6" customHeight="1">
      <c r="A292" s="363" t="n"/>
      <c r="K292" s="364" t="n"/>
    </row>
    <row r="293" ht="5.25" customHeight="1">
      <c r="A293" s="363" t="n"/>
      <c r="K293" s="364" t="n"/>
    </row>
    <row r="294" hidden="1" ht="15.75" customHeight="1">
      <c r="A294" s="363" t="n"/>
      <c r="K294" s="364" t="n"/>
    </row>
    <row r="295" hidden="1" ht="15.75" customHeight="1">
      <c r="A295" s="363" t="n"/>
      <c r="K295" s="364" t="n"/>
    </row>
    <row r="296" hidden="1" ht="15.75" customHeight="1">
      <c r="A296" s="363" t="n"/>
      <c r="K296" s="364" t="n"/>
    </row>
    <row r="297" hidden="1" ht="15.75" customHeight="1">
      <c r="A297" s="363" t="n"/>
      <c r="K297" s="364" t="n"/>
    </row>
    <row r="298" ht="4.5" customHeight="1">
      <c r="A298" s="363" t="n"/>
      <c r="K298" s="364" t="n"/>
    </row>
    <row r="299" hidden="1" ht="15.75" customHeight="1">
      <c r="A299" s="363" t="n"/>
      <c r="K299" s="364" t="n"/>
    </row>
    <row r="300" hidden="1" ht="15.75" customHeight="1">
      <c r="A300" s="363" t="n"/>
      <c r="K300" s="364" t="n"/>
    </row>
    <row r="301" hidden="1" ht="15.75" customHeight="1">
      <c r="A301" s="363" t="n"/>
      <c r="K301" s="364" t="n"/>
    </row>
    <row r="302" hidden="1" ht="15.75" customHeight="1">
      <c r="A302" s="363" t="n"/>
      <c r="K302" s="364" t="n"/>
    </row>
    <row r="303" hidden="1" ht="15.75" customHeight="1" thickBot="1">
      <c r="A303" s="363" t="n"/>
      <c r="K303" s="364" t="n"/>
    </row>
    <row r="304">
      <c r="A304" s="363" t="n"/>
      <c r="K304" s="364" t="n"/>
    </row>
    <row r="305">
      <c r="A305" s="363" t="n"/>
      <c r="K305" s="364" t="n"/>
    </row>
    <row r="306">
      <c r="A306" s="363" t="n"/>
      <c r="K306" s="364" t="n"/>
    </row>
    <row r="307">
      <c r="A307" s="363" t="n"/>
      <c r="K307" s="364" t="n"/>
    </row>
    <row r="308">
      <c r="A308" s="363" t="n"/>
      <c r="K308" s="364" t="n"/>
    </row>
    <row r="309">
      <c r="A309" s="363" t="n"/>
      <c r="K309" s="364" t="n"/>
    </row>
    <row r="310">
      <c r="A310" s="363" t="n"/>
      <c r="K310" s="364" t="n"/>
    </row>
    <row r="311">
      <c r="A311" s="363" t="n"/>
      <c r="K311" s="364" t="n"/>
    </row>
    <row r="312">
      <c r="A312" s="363" t="n"/>
      <c r="K312" s="364" t="n"/>
    </row>
    <row r="313">
      <c r="A313" s="363" t="n"/>
      <c r="K313" s="364" t="n"/>
    </row>
    <row r="314">
      <c r="A314" s="363" t="n"/>
      <c r="K314" s="364" t="n"/>
    </row>
    <row r="315">
      <c r="A315" s="363" t="n"/>
      <c r="K315" s="364" t="n"/>
    </row>
    <row r="316">
      <c r="A316" s="363" t="n"/>
      <c r="K316" s="364" t="n"/>
    </row>
    <row r="317">
      <c r="A317" s="363" t="n"/>
      <c r="K317" s="364" t="n"/>
    </row>
    <row r="318">
      <c r="A318" s="363" t="n"/>
      <c r="K318" s="364" t="n"/>
    </row>
    <row r="319">
      <c r="A319" s="363" t="n"/>
      <c r="K319" s="364" t="n"/>
    </row>
    <row r="320">
      <c r="A320" s="363" t="n"/>
      <c r="K320" s="364" t="n"/>
    </row>
    <row r="321">
      <c r="A321" s="363" t="n"/>
      <c r="K321" s="364" t="n"/>
    </row>
    <row r="322">
      <c r="A322" s="363" t="n"/>
      <c r="K322" s="364" t="n"/>
    </row>
    <row r="323">
      <c r="A323" s="363" t="n"/>
      <c r="K323" s="364" t="n"/>
    </row>
    <row r="324">
      <c r="A324" s="363" t="n"/>
      <c r="K324" s="364" t="n"/>
    </row>
    <row r="325">
      <c r="A325" s="363" t="n"/>
      <c r="K325" s="364" t="n"/>
    </row>
    <row r="326">
      <c r="A326" s="363" t="n"/>
      <c r="K326" s="364" t="n"/>
    </row>
    <row r="327">
      <c r="A327" s="363" t="n"/>
      <c r="K327" s="364" t="n"/>
    </row>
    <row r="328" ht="15.6" customHeight="1" thickBot="1">
      <c r="A328" s="366" t="n"/>
      <c r="B328" s="365" t="n"/>
      <c r="C328" s="365" t="n"/>
      <c r="D328" s="365" t="n"/>
      <c r="E328" s="365" t="n"/>
      <c r="F328" s="365" t="n"/>
      <c r="G328" s="365" t="n"/>
      <c r="H328" s="365" t="n"/>
      <c r="I328" s="365" t="n"/>
      <c r="J328" s="365" t="n"/>
      <c r="K328" s="367" t="n"/>
    </row>
  </sheetData>
  <mergeCells count="344">
    <mergeCell ref="D60:E60"/>
    <mergeCell ref="A128:C128"/>
    <mergeCell ref="F32:K32"/>
    <mergeCell ref="J59:K59"/>
    <mergeCell ref="A57:C57"/>
    <mergeCell ref="D129:F129"/>
    <mergeCell ref="B70:K70"/>
    <mergeCell ref="A269:B269"/>
    <mergeCell ref="A188:F211"/>
    <mergeCell ref="A51:F51"/>
    <mergeCell ref="A82:F82"/>
    <mergeCell ref="D130:K130"/>
    <mergeCell ref="G63:K63"/>
    <mergeCell ref="B17:K17"/>
    <mergeCell ref="A28:B28"/>
    <mergeCell ref="G50:K50"/>
    <mergeCell ref="G167:K186"/>
    <mergeCell ref="I100:K100"/>
    <mergeCell ref="A39:B39"/>
    <mergeCell ref="J64:K64"/>
    <mergeCell ref="J120:K120"/>
    <mergeCell ref="G52:K52"/>
    <mergeCell ref="A30:B30"/>
    <mergeCell ref="E110:K110"/>
    <mergeCell ref="I102:K102"/>
    <mergeCell ref="J57:K57"/>
    <mergeCell ref="A55:C55"/>
    <mergeCell ref="A88:K88"/>
    <mergeCell ref="A241:K265"/>
    <mergeCell ref="A69:E69"/>
    <mergeCell ref="C112:G112"/>
    <mergeCell ref="A141:F141"/>
    <mergeCell ref="F71:K71"/>
    <mergeCell ref="A62:F62"/>
    <mergeCell ref="A136:K136"/>
    <mergeCell ref="G78:K78"/>
    <mergeCell ref="I128:K128"/>
    <mergeCell ref="G80:K80"/>
    <mergeCell ref="F61:G61"/>
    <mergeCell ref="A60:C60"/>
    <mergeCell ref="A131:K131"/>
    <mergeCell ref="F68:K68"/>
    <mergeCell ref="H127:J127"/>
    <mergeCell ref="E108:K108"/>
    <mergeCell ref="G9:H9"/>
    <mergeCell ref="A67:E67"/>
    <mergeCell ref="A143:B143"/>
    <mergeCell ref="F73:G73"/>
    <mergeCell ref="H28:K28"/>
    <mergeCell ref="A214:K215"/>
    <mergeCell ref="A216:K240"/>
    <mergeCell ref="A42:C42"/>
    <mergeCell ref="D11:K11"/>
    <mergeCell ref="G25:K26"/>
    <mergeCell ref="F105:H105"/>
    <mergeCell ref="J65:K65"/>
    <mergeCell ref="G53:K53"/>
    <mergeCell ref="G74:K74"/>
    <mergeCell ref="F107:H107"/>
    <mergeCell ref="A83:F83"/>
    <mergeCell ref="A49:F49"/>
    <mergeCell ref="D55:E55"/>
    <mergeCell ref="A78:F78"/>
    <mergeCell ref="I129:K129"/>
    <mergeCell ref="G81:K81"/>
    <mergeCell ref="A80:F80"/>
    <mergeCell ref="F127:G127"/>
    <mergeCell ref="G23:K23"/>
    <mergeCell ref="C27:E27"/>
    <mergeCell ref="B35:K35"/>
    <mergeCell ref="C269:F269"/>
    <mergeCell ref="J55:K55"/>
    <mergeCell ref="A92:C92"/>
    <mergeCell ref="G14:H14"/>
    <mergeCell ref="I39:J39"/>
    <mergeCell ref="F69:K69"/>
    <mergeCell ref="C39:D39"/>
    <mergeCell ref="F19:H19"/>
    <mergeCell ref="A94:C94"/>
    <mergeCell ref="G76:K76"/>
    <mergeCell ref="J1:K4"/>
    <mergeCell ref="C37:D37"/>
    <mergeCell ref="E37:F37"/>
    <mergeCell ref="A111:B113"/>
    <mergeCell ref="A84:F84"/>
    <mergeCell ref="G77:K77"/>
    <mergeCell ref="A89:C89"/>
    <mergeCell ref="A75:F75"/>
    <mergeCell ref="A50:F50"/>
    <mergeCell ref="A105:C105"/>
    <mergeCell ref="A86:F86"/>
    <mergeCell ref="I8:K8"/>
    <mergeCell ref="D12:F12"/>
    <mergeCell ref="A99:K99"/>
    <mergeCell ref="F67:K67"/>
    <mergeCell ref="D9:F9"/>
    <mergeCell ref="B125:K125"/>
    <mergeCell ref="A81:F81"/>
    <mergeCell ref="H113:K113"/>
    <mergeCell ref="D14:F14"/>
    <mergeCell ref="F72:G72"/>
    <mergeCell ref="G24:K24"/>
    <mergeCell ref="H72:I72"/>
    <mergeCell ref="A108:D108"/>
    <mergeCell ref="I20:K21"/>
    <mergeCell ref="A95:C95"/>
    <mergeCell ref="I92:K92"/>
    <mergeCell ref="F91:H91"/>
    <mergeCell ref="G75:K75"/>
    <mergeCell ref="G166:K166"/>
    <mergeCell ref="E38:F38"/>
    <mergeCell ref="G38:H38"/>
    <mergeCell ref="G141:K141"/>
    <mergeCell ref="F93:H93"/>
    <mergeCell ref="A96:C96"/>
    <mergeCell ref="F20:H21"/>
    <mergeCell ref="F30:I30"/>
    <mergeCell ref="A25:F26"/>
    <mergeCell ref="I105:K105"/>
    <mergeCell ref="I101:K101"/>
    <mergeCell ref="F104:H104"/>
    <mergeCell ref="A46:F46"/>
    <mergeCell ref="J29:K29"/>
    <mergeCell ref="A109:D109"/>
    <mergeCell ref="F106:H106"/>
    <mergeCell ref="B123:K123"/>
    <mergeCell ref="A20:B21"/>
    <mergeCell ref="H73:I73"/>
    <mergeCell ref="H60:I60"/>
    <mergeCell ref="I94:K94"/>
    <mergeCell ref="G187:K187"/>
    <mergeCell ref="H57:I57"/>
    <mergeCell ref="G45:K45"/>
    <mergeCell ref="A166:F166"/>
    <mergeCell ref="D56:K56"/>
    <mergeCell ref="I95:K95"/>
    <mergeCell ref="A270:K328"/>
    <mergeCell ref="I89:K89"/>
    <mergeCell ref="G47:K47"/>
    <mergeCell ref="B116:K116"/>
    <mergeCell ref="G46:K46"/>
    <mergeCell ref="A127:E127"/>
    <mergeCell ref="B118:K118"/>
    <mergeCell ref="F94:H94"/>
    <mergeCell ref="F18:K18"/>
    <mergeCell ref="G36:H36"/>
    <mergeCell ref="D40:E40"/>
    <mergeCell ref="I36:J36"/>
    <mergeCell ref="A23:F23"/>
    <mergeCell ref="B7:K7"/>
    <mergeCell ref="D41:E41"/>
    <mergeCell ref="A138:D138"/>
    <mergeCell ref="I19:K19"/>
    <mergeCell ref="A52:F52"/>
    <mergeCell ref="F120:H120"/>
    <mergeCell ref="C19:E19"/>
    <mergeCell ref="C15:K15"/>
    <mergeCell ref="A29:B29"/>
    <mergeCell ref="A36:B37"/>
    <mergeCell ref="G143:K143"/>
    <mergeCell ref="A15:A16"/>
    <mergeCell ref="A187:F187"/>
    <mergeCell ref="D59:E59"/>
    <mergeCell ref="A58:K58"/>
    <mergeCell ref="I103:K103"/>
    <mergeCell ref="H27:K27"/>
    <mergeCell ref="A73:B73"/>
    <mergeCell ref="I96:K96"/>
    <mergeCell ref="F100:H100"/>
    <mergeCell ref="B142:K142"/>
    <mergeCell ref="J60:K60"/>
    <mergeCell ref="A47:F47"/>
    <mergeCell ref="F102:H102"/>
    <mergeCell ref="G128:H128"/>
    <mergeCell ref="D61:E61"/>
    <mergeCell ref="G62:K62"/>
    <mergeCell ref="A44:F44"/>
    <mergeCell ref="A213:K213"/>
    <mergeCell ref="A130:C130"/>
    <mergeCell ref="A126:B126"/>
    <mergeCell ref="A24:F24"/>
    <mergeCell ref="D128:F128"/>
    <mergeCell ref="A19:B19"/>
    <mergeCell ref="G212:K212"/>
    <mergeCell ref="F57:G57"/>
    <mergeCell ref="G12:H12"/>
    <mergeCell ref="C113:G113"/>
    <mergeCell ref="A137:K137"/>
    <mergeCell ref="A268:K268"/>
    <mergeCell ref="A13:C13"/>
    <mergeCell ref="A139:K139"/>
    <mergeCell ref="A40:C40"/>
    <mergeCell ref="F28:G28"/>
    <mergeCell ref="A48:F48"/>
    <mergeCell ref="F103:H103"/>
    <mergeCell ref="A4:E4"/>
    <mergeCell ref="G129:H129"/>
    <mergeCell ref="G51:K51"/>
    <mergeCell ref="A140:K140"/>
    <mergeCell ref="A79:F79"/>
    <mergeCell ref="A1:I1"/>
    <mergeCell ref="B87:K87"/>
    <mergeCell ref="J61:K61"/>
    <mergeCell ref="A31:E31"/>
    <mergeCell ref="H111:K111"/>
    <mergeCell ref="A74:F74"/>
    <mergeCell ref="H48:K48"/>
    <mergeCell ref="G126:H126"/>
    <mergeCell ref="G188:K211"/>
    <mergeCell ref="I126:J126"/>
    <mergeCell ref="G82:K82"/>
    <mergeCell ref="A76:F76"/>
    <mergeCell ref="A133:K133"/>
    <mergeCell ref="G13:H13"/>
    <mergeCell ref="D8:F8"/>
    <mergeCell ref="A63:F63"/>
    <mergeCell ref="C28:E28"/>
    <mergeCell ref="B115:K115"/>
    <mergeCell ref="G83:K83"/>
    <mergeCell ref="C30:E30"/>
    <mergeCell ref="A59:C59"/>
    <mergeCell ref="A38:B38"/>
    <mergeCell ref="C38:D38"/>
    <mergeCell ref="A45:F45"/>
    <mergeCell ref="A61:C61"/>
    <mergeCell ref="A90:C90"/>
    <mergeCell ref="D13:F13"/>
    <mergeCell ref="A41:C41"/>
    <mergeCell ref="D126:F126"/>
    <mergeCell ref="D10:K10"/>
    <mergeCell ref="A56:C56"/>
    <mergeCell ref="G8:H8"/>
    <mergeCell ref="A129:C129"/>
    <mergeCell ref="A6:K6"/>
    <mergeCell ref="F55:G55"/>
    <mergeCell ref="I107:K107"/>
    <mergeCell ref="H112:K112"/>
    <mergeCell ref="I138:K138"/>
    <mergeCell ref="I9:K9"/>
    <mergeCell ref="A9:C9"/>
    <mergeCell ref="A77:F77"/>
    <mergeCell ref="A5:K5"/>
    <mergeCell ref="A11:C11"/>
    <mergeCell ref="A72:B72"/>
    <mergeCell ref="G85:K85"/>
    <mergeCell ref="F60:G60"/>
    <mergeCell ref="C29:E29"/>
    <mergeCell ref="G84:K84"/>
    <mergeCell ref="A65:C65"/>
    <mergeCell ref="G22:K22"/>
    <mergeCell ref="G86:K86"/>
    <mergeCell ref="H55:I55"/>
    <mergeCell ref="A2:I2"/>
    <mergeCell ref="A54:K54"/>
    <mergeCell ref="F29:I29"/>
    <mergeCell ref="A91:C91"/>
    <mergeCell ref="F92:H92"/>
    <mergeCell ref="A27:B27"/>
    <mergeCell ref="B121:K121"/>
    <mergeCell ref="A93:C93"/>
    <mergeCell ref="A71:E71"/>
    <mergeCell ref="C36:D36"/>
    <mergeCell ref="E36:F36"/>
    <mergeCell ref="G269:K269"/>
    <mergeCell ref="G79:K79"/>
    <mergeCell ref="F89:H89"/>
    <mergeCell ref="A212:F212"/>
    <mergeCell ref="B120:D120"/>
    <mergeCell ref="F101:H101"/>
    <mergeCell ref="I12:K12"/>
    <mergeCell ref="A12:C12"/>
    <mergeCell ref="B124:K124"/>
    <mergeCell ref="A134:K135"/>
    <mergeCell ref="A104:C104"/>
    <mergeCell ref="A33:E34"/>
    <mergeCell ref="G144:K165"/>
    <mergeCell ref="H117:I117"/>
    <mergeCell ref="A85:F85"/>
    <mergeCell ref="J117:K117"/>
    <mergeCell ref="I14:K14"/>
    <mergeCell ref="A14:C14"/>
    <mergeCell ref="A106:C106"/>
    <mergeCell ref="A22:F22"/>
    <mergeCell ref="A32:E32"/>
    <mergeCell ref="A97:E97"/>
    <mergeCell ref="H49:K49"/>
    <mergeCell ref="I90:K90"/>
    <mergeCell ref="I91:K91"/>
    <mergeCell ref="F95:H95"/>
    <mergeCell ref="B117:G117"/>
    <mergeCell ref="G43:K43"/>
    <mergeCell ref="A167:F186"/>
    <mergeCell ref="I93:K93"/>
    <mergeCell ref="A101:C101"/>
    <mergeCell ref="A3:I3"/>
    <mergeCell ref="E39:F39"/>
    <mergeCell ref="G39:H39"/>
    <mergeCell ref="B114:K114"/>
    <mergeCell ref="E109:K109"/>
    <mergeCell ref="F90:H90"/>
    <mergeCell ref="F4:I4"/>
    <mergeCell ref="G37:H37"/>
    <mergeCell ref="I37:J37"/>
    <mergeCell ref="A53:F53"/>
    <mergeCell ref="A18:E18"/>
    <mergeCell ref="B66:K66"/>
    <mergeCell ref="I13:K13"/>
    <mergeCell ref="C143:F143"/>
    <mergeCell ref="A266:K267"/>
    <mergeCell ref="A64:C64"/>
    <mergeCell ref="A107:C107"/>
    <mergeCell ref="I104:K104"/>
    <mergeCell ref="B119:K119"/>
    <mergeCell ref="G44:K44"/>
    <mergeCell ref="I106:K106"/>
    <mergeCell ref="C16:K16"/>
    <mergeCell ref="A98:E98"/>
    <mergeCell ref="A132:K132"/>
    <mergeCell ref="E64:I64"/>
    <mergeCell ref="F59:G59"/>
    <mergeCell ref="J30:K30"/>
    <mergeCell ref="H59:I59"/>
    <mergeCell ref="D57:E57"/>
    <mergeCell ref="A8:C8"/>
    <mergeCell ref="F31:K31"/>
    <mergeCell ref="A100:C100"/>
    <mergeCell ref="F96:H96"/>
    <mergeCell ref="H61:I61"/>
    <mergeCell ref="C20:E21"/>
    <mergeCell ref="A43:F43"/>
    <mergeCell ref="A10:C10"/>
    <mergeCell ref="E65:I65"/>
    <mergeCell ref="A110:D110"/>
    <mergeCell ref="B122:K122"/>
    <mergeCell ref="A102:C102"/>
    <mergeCell ref="E138:H138"/>
    <mergeCell ref="F27:G27"/>
    <mergeCell ref="F33:K34"/>
    <mergeCell ref="D42:E42"/>
    <mergeCell ref="A103:C103"/>
    <mergeCell ref="I38:J38"/>
    <mergeCell ref="A144:F165"/>
    <mergeCell ref="A68:E68"/>
    <mergeCell ref="C111:G111"/>
  </mergeCells>
  <dataValidations count="2">
    <dataValidation sqref="D12:F13" showDropDown="0" showInputMessage="1" showErrorMessage="1" allowBlank="0"/>
    <dataValidation sqref="A30:K30 G86:K86" showDropDown="0" showInputMessage="1" showErrorMessage="1" allowBlank="0" type="list">
      <formula1>#REF!</formula1>
    </dataValidation>
  </dataValidations>
  <printOptions horizontalCentered="1"/>
  <pageMargins left="0.7086614173228347" right="0.7086614173228347" top="0.7480314960629921" bottom="0.7480314960629921" header="0.3149606299212598" footer="0.3149606299212598"/>
  <pageSetup orientation="portrait" scale="30"/>
  <rowBreaks count="3" manualBreakCount="3">
    <brk id="69" min="0" max="10" man="1"/>
    <brk id="137" min="0" max="10" man="1"/>
    <brk id="213" min="0" max="10"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2026-08-24T18:55:37Z</dcterms:modified>
</cp:coreProperties>
</file>